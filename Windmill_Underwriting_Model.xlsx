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nt Roll" sheetId="3" state="visible" r:id="rId5"/>
    <sheet name="T-12" sheetId="4" state="visible" r:id="rId6"/>
    <sheet name="Pro Forma" sheetId="5" state="visible" r:id="rId7"/>
    <sheet name="Debt Schedule" sheetId="6" state="visible" r:id="rId8"/>
    <sheet name="Cash Flow" sheetId="7" state="visible" r:id="rId9"/>
    <sheet name="Returns" sheetId="8" state="visible" r:id="rId10"/>
    <sheet name="Sensitivity" sheetId="9" state="visible" r:id="rId11"/>
    <sheet name="Rent Comp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Broker asking price. Test at lower offers via Sensitivity tab.</t>
        </r>
      </text>
    </comment>
    <comment ref="C7" authorId="0">
      <text>
        <r>
          <rPr>
            <sz val="10"/>
            <rFont val="Arial"/>
            <family val="2"/>
          </rPr>
          <t xml:space="preserve">Per rent roll and OM.</t>
        </r>
      </text>
    </comment>
    <comment ref="C8" authorId="0">
      <text>
        <r>
          <rPr>
            <sz val="10"/>
            <rFont val="Arial"/>
            <family val="2"/>
          </rPr>
          <t xml:space="preserve">Calculated.</t>
        </r>
      </text>
    </comment>
    <comment ref="C9" authorId="0">
      <text>
        <r>
          <rPr>
            <sz val="10"/>
            <rFont val="Arial"/>
            <family val="2"/>
          </rPr>
          <t xml:space="preserve">Standard multifamily closing cost estimate: title, legal, inspection, appraisal.</t>
        </r>
      </text>
    </comment>
    <comment ref="C10" authorId="0">
      <text>
        <r>
          <rPr>
            <sz val="10"/>
            <rFont val="Arial"/>
            <family val="2"/>
          </rPr>
          <t xml:space="preserve">Purchase price plus closing costs.</t>
        </r>
      </text>
    </comment>
    <comment ref="C13" authorId="0">
      <text>
        <r>
          <rPr>
            <sz val="10"/>
            <rFont val="Arial"/>
            <family val="2"/>
          </rPr>
          <t xml:space="preserve">Conservative for Class C 1980-built. Broker assumed 75%; banks typically cap 70-75% for this vintage.</t>
        </r>
      </text>
    </comment>
    <comment ref="C14" authorId="0">
      <text>
        <r>
          <rPr>
            <sz val="10"/>
            <rFont val="Arial"/>
            <family val="2"/>
          </rPr>
          <t xml:space="preserve">Calculated.</t>
        </r>
      </text>
    </comment>
    <comment ref="C15" authorId="0">
      <text>
        <r>
          <rPr>
            <sz val="10"/>
            <rFont val="Arial"/>
            <family val="2"/>
          </rPr>
          <t xml:space="preserve">Current market rate for 5-yr multifamily bank loan (July 2026 estimate).</t>
        </r>
      </text>
    </comment>
    <comment ref="C16" authorId="0">
      <text>
        <r>
          <rPr>
            <sz val="10"/>
            <rFont val="Arial"/>
            <family val="2"/>
          </rPr>
          <t xml:space="preserve">Standard 25-yr amort.</t>
        </r>
      </text>
    </comment>
    <comment ref="C17" authorId="0">
      <text>
        <r>
          <rPr>
            <sz val="10"/>
            <rFont val="Arial"/>
            <family val="2"/>
          </rPr>
          <t xml:space="preserve">5-year hold matches investment horizon.</t>
        </r>
      </text>
    </comment>
    <comment ref="C18" authorId="0">
      <text>
        <r>
          <rPr>
            <sz val="10"/>
            <rFont val="Arial"/>
            <family val="2"/>
          </rPr>
          <t xml:space="preserve">Down payment + closing costs.</t>
        </r>
      </text>
    </comment>
    <comment ref="C21" authorId="0">
      <text>
        <r>
          <rPr>
            <sz val="10"/>
            <rFont val="Arial"/>
            <family val="2"/>
          </rPr>
          <t xml:space="preserve">Broker pro forma potential rent. $954/unit avg × 33 × 12. See rent roll.</t>
        </r>
      </text>
    </comment>
    <comment ref="C22" authorId="0">
      <text>
        <r>
          <rPr>
            <sz val="10"/>
            <rFont val="Arial"/>
            <family val="2"/>
          </rPr>
          <t xml:space="preserve">5% is stabilized-property standard. T-12 actual 5.0% physical.</t>
        </r>
      </text>
    </comment>
    <comment ref="C23" authorId="0">
      <text>
        <r>
          <rPr>
            <sz val="10"/>
            <rFont val="Arial"/>
            <family val="2"/>
          </rPr>
          <t xml:space="preserve">T-12 actual 5.6% (elevated). Broker assumed 1%. Middle ground at 3.5% reflects real collection issues at this property.</t>
        </r>
      </text>
    </comment>
    <comment ref="C24" authorId="0">
      <text>
        <r>
          <rPr>
            <sz val="10"/>
            <rFont val="Arial"/>
            <family val="2"/>
          </rPr>
          <t xml:space="preserve">T-12 actual 1.9%. Assume 1.5% ongoing.</t>
        </r>
      </text>
    </comment>
    <comment ref="C25" authorId="0">
      <text>
        <r>
          <rPr>
            <sz val="10"/>
            <rFont val="Arial"/>
            <family val="2"/>
          </rPr>
          <t xml:space="preserve">Standard assumption; lease-vs-market rent lag.</t>
        </r>
      </text>
    </comment>
    <comment ref="C26" authorId="0">
      <text>
        <r>
          <rPr>
            <sz val="10"/>
            <rFont val="Arial"/>
            <family val="2"/>
          </rPr>
          <t xml:space="preserve">T-12 actual $74,763. Charged to residents monthly.</t>
        </r>
      </text>
    </comment>
    <comment ref="C27" authorId="0">
      <text>
        <r>
          <rPr>
            <sz val="10"/>
            <rFont val="Arial"/>
            <family val="2"/>
          </rPr>
          <t xml:space="preserve">T-12 actual $27,955. Application, pet, late, damage fees.</t>
        </r>
      </text>
    </comment>
    <comment ref="C28" authorId="0">
      <text>
        <r>
          <rPr>
            <sz val="10"/>
            <rFont val="Arial"/>
            <family val="2"/>
          </rPr>
          <t xml:space="preserve">Middle of broker's 2.1-3.0% range. Brownsburg submarket has grown 7-8% recently but that's not sustainable.</t>
        </r>
      </text>
    </comment>
    <comment ref="C29" authorId="0">
      <text>
        <r>
          <rPr>
            <sz val="10"/>
            <rFont val="Arial"/>
            <family val="2"/>
          </rPr>
          <t xml:space="preserve">Standard.</t>
        </r>
      </text>
    </comment>
    <comment ref="C32" authorId="0">
      <text>
        <r>
          <rPr>
            <sz val="10"/>
            <rFont val="Arial"/>
            <family val="2"/>
          </rPr>
          <t xml:space="preserve">2026 pay 2027 bill per OM. Indiana SB-1 provides caps.</t>
        </r>
      </text>
    </comment>
    <comment ref="C33" authorId="0">
      <text>
        <r>
          <rPr>
            <sz val="10"/>
            <rFont val="Arial"/>
            <family val="2"/>
          </rPr>
          <t xml:space="preserve">$350/unit. Broker's number, reasonable.</t>
        </r>
      </text>
    </comment>
    <comment ref="C34" authorId="0">
      <text>
        <r>
          <rPr>
            <sz val="10"/>
            <rFont val="Arial"/>
            <family val="2"/>
          </rPr>
          <t xml:space="preserve">Electric + Water/Sewer + Gas + Trash. T-12 total.</t>
        </r>
      </text>
    </comment>
    <comment ref="C35" authorId="0">
      <text>
        <r>
          <rPr>
            <sz val="10"/>
            <rFont val="Arial"/>
            <family val="2"/>
          </rPr>
          <t xml:space="preserve">$500/unit. T-12 was $7,947 (unsustainably low). Broker used $26,400 ($800/unit).</t>
        </r>
      </text>
    </comment>
    <comment ref="C36" authorId="0">
      <text>
        <r>
          <rPr>
            <sz val="10"/>
            <rFont val="Arial"/>
            <family val="2"/>
          </rPr>
          <t xml:space="preserve">$250/unit. T-12 $11,950; broker $5,775. Middle ground.</t>
        </r>
      </text>
    </comment>
    <comment ref="C37" authorId="0">
      <text>
        <r>
          <rPr>
            <sz val="10"/>
            <rFont val="Arial"/>
            <family val="2"/>
          </rPr>
          <t xml:space="preserve">Third-party management model — no dedicated payroll. T-12 was $43,900 with in-house mgmt.</t>
        </r>
      </text>
    </comment>
    <comment ref="C38" authorId="0">
      <text>
        <r>
          <rPr>
            <sz val="10"/>
            <rFont val="Arial"/>
            <family val="2"/>
          </rPr>
          <t xml:space="preserve">T-12 actual.</t>
        </r>
      </text>
    </comment>
    <comment ref="C39" authorId="0">
      <text>
        <r>
          <rPr>
            <sz val="10"/>
            <rFont val="Arial"/>
            <family val="2"/>
          </rPr>
          <t xml:space="preserve">T-12 actual. Broker cut this to $8,250 unjustifiably.</t>
        </r>
      </text>
    </comment>
    <comment ref="C40" authorId="0">
      <text>
        <r>
          <rPr>
            <sz val="10"/>
            <rFont val="Arial"/>
            <family val="2"/>
          </rPr>
          <t xml:space="preserve">T-12 actual.</t>
        </r>
      </text>
    </comment>
    <comment ref="C41" authorId="0">
      <text>
        <r>
          <rPr>
            <sz val="10"/>
            <rFont val="Arial"/>
            <family val="2"/>
          </rPr>
          <t xml:space="preserve">T-12 actual. Property provides internet, charges residents utility fee.</t>
        </r>
      </text>
    </comment>
    <comment ref="C42" authorId="0">
      <text>
        <r>
          <rPr>
            <sz val="10"/>
            <rFont val="Arial"/>
            <family val="2"/>
          </rPr>
          <t xml:space="preserve">8% is standard for third-party PM on a 33-unit deal.</t>
        </r>
      </text>
    </comment>
    <comment ref="C43" authorId="0">
      <text>
        <r>
          <rPr>
            <sz val="10"/>
            <rFont val="Arial"/>
            <family val="2"/>
          </rPr>
          <t xml:space="preserve">Standard 3% inflation.</t>
        </r>
      </text>
    </comment>
    <comment ref="C44" authorId="0">
      <text>
        <r>
          <rPr>
            <sz val="10"/>
            <rFont val="Arial"/>
            <family val="2"/>
          </rPr>
          <t xml:space="preserve">$300/unit/yr is lender standard for older properties.</t>
        </r>
      </text>
    </comment>
    <comment ref="C47" authorId="0">
      <text>
        <r>
          <rPr>
            <sz val="10"/>
            <rFont val="Arial"/>
            <family val="2"/>
          </rPr>
          <t xml:space="preserve">Above going-in cap of 6.8% (T-12 basis). Broker exit implied ~8%. Market cap per OM: 6.38%. We take 7.5% - conservative.</t>
        </r>
      </text>
    </comment>
    <comment ref="C48" authorId="0">
      <text>
        <r>
          <rPr>
            <sz val="10"/>
            <rFont val="Arial"/>
            <family val="2"/>
          </rPr>
          <t xml:space="preserve">Broker commission + legal + transfer taxes.</t>
        </r>
      </text>
    </comment>
    <comment ref="C49" authorId="0">
      <text>
        <r>
          <rPr>
            <sz val="10"/>
            <rFont val="Arial"/>
            <family val="2"/>
          </rPr>
          <t xml:space="preserve">Standard 5-year value-add hold.</t>
        </r>
      </text>
    </comment>
  </commentList>
</comments>
</file>

<file path=xl/sharedStrings.xml><?xml version="1.0" encoding="utf-8"?>
<sst xmlns="http://schemas.openxmlformats.org/spreadsheetml/2006/main" count="384" uniqueCount="288">
  <si>
    <t xml:space="preserve">WINDMILL APARTMENTS</t>
  </si>
  <si>
    <t xml:space="preserve">Value-Add Multifamily Acquisition Underwriting</t>
  </si>
  <si>
    <t xml:space="preserve">Property Address:</t>
  </si>
  <si>
    <t xml:space="preserve">10705 E US Highway 136, Indianapolis, IN 46234</t>
  </si>
  <si>
    <t xml:space="preserve">Broker:</t>
  </si>
  <si>
    <t xml:space="preserve">Marcus &amp; Millichap  |  Julia Evinger (BOR)</t>
  </si>
  <si>
    <t xml:space="preserve">Unit Count:</t>
  </si>
  <si>
    <t xml:space="preserve">33 units  (15 Studios / 17 1BR/1BA / 1 2BR/2BA)</t>
  </si>
  <si>
    <t xml:space="preserve">Year Built:</t>
  </si>
  <si>
    <t xml:space="preserve">1980</t>
  </si>
  <si>
    <t xml:space="preserve">Asking Price:</t>
  </si>
  <si>
    <t xml:space="preserve">Price / Unit:</t>
  </si>
  <si>
    <t xml:space="preserve">MODEL STRUCTURE</t>
  </si>
  <si>
    <t xml:space="preserve">Assumptions</t>
  </si>
  <si>
    <t xml:space="preserve">All key inputs. Edit the yellow cells.</t>
  </si>
  <si>
    <t xml:space="preserve">Rent Roll</t>
  </si>
  <si>
    <t xml:space="preserve">Unit mix, in-place vs. market rents</t>
  </si>
  <si>
    <t xml:space="preserve">T-12</t>
  </si>
  <si>
    <t xml:space="preserve">Actual trailing 12 operating statement from broker</t>
  </si>
  <si>
    <t xml:space="preserve">Pro Forma</t>
  </si>
  <si>
    <t xml:space="preserve">Year 1 stabilized underwriting</t>
  </si>
  <si>
    <t xml:space="preserve">Debt Schedule</t>
  </si>
  <si>
    <t xml:space="preserve">5-year amortization</t>
  </si>
  <si>
    <t xml:space="preserve">Cash Flow</t>
  </si>
  <si>
    <t xml:space="preserve">5-year hold cash flows</t>
  </si>
  <si>
    <t xml:space="preserve">Returns</t>
  </si>
  <si>
    <t xml:space="preserve">IRR, equity multiple, cash-on-cash</t>
  </si>
  <si>
    <t xml:space="preserve">Sensitivity</t>
  </si>
  <si>
    <t xml:space="preserve">Price × Exit Cap tables</t>
  </si>
  <si>
    <t xml:space="preserve">Rent Comps</t>
  </si>
  <si>
    <t xml:space="preserve">Comps pulled from Apartments.com</t>
  </si>
  <si>
    <t xml:space="preserve">COLOR KEY</t>
  </si>
  <si>
    <t xml:space="preserve">Blue text = hardcoded input</t>
  </si>
  <si>
    <t xml:space="preserve">Black text = formula</t>
  </si>
  <si>
    <t xml:space="preserve">Green text = cross-sheet reference</t>
  </si>
  <si>
    <t xml:space="preserve">Yellow fill = user-editable assumption</t>
  </si>
  <si>
    <t xml:space="preserve">IMPORTANT — READ FIRST</t>
  </si>
  <si>
    <t xml:space="preserve">1. Broker's OM shows a 'Current' NOI of $248,070 (7.95% cap). The actual T-12 NOI is $212,573 (6.81% cap).</t>
  </si>
  <si>
    <t xml:space="preserve">   The $35K gap is created by removing all payroll ($43,900), cutting marketing 50%, and reducing G&amp;A.</t>
  </si>
  <si>
    <t xml:space="preserve">   This model underwrites to the T-12 with honest adjustments — not to the broker's pro forma.</t>
  </si>
  <si>
    <t xml:space="preserve">2. Rent comp verification (Apartments.com, July 2026):</t>
  </si>
  <si>
    <t xml:space="preserve">   Windmill studios: 226-267 sqft at $725-$812 = $3.17-$3.21/sqft — ALREADY above market on $/sqft basis.</t>
  </si>
  <si>
    <t xml:space="preserve">   Windmill 1BRs: 464-506 sqft at $999-$1,050 = $2.17-$2.26/sqft — comparable to market $/sqft.</t>
  </si>
  <si>
    <t xml:space="preserve">   Conclusion: unit size is the constraint; broker's 'below-market rent' story is largely false.</t>
  </si>
  <si>
    <t xml:space="preserve">3. All formulas trace back to the Assumptions tab. Change inputs there, everything downstream updates.</t>
  </si>
  <si>
    <t xml:space="preserve">UNDERWRITING ASSUMPTIONS</t>
  </si>
  <si>
    <t xml:space="preserve">Yellow cells are editable inputs. Change these to test different scenarios.</t>
  </si>
  <si>
    <t xml:space="preserve">ACQUISITION</t>
  </si>
  <si>
    <t xml:space="preserve">Purchase Price ($)</t>
  </si>
  <si>
    <t xml:space="preserve">Number of Units</t>
  </si>
  <si>
    <t xml:space="preserve">Price per Unit</t>
  </si>
  <si>
    <t xml:space="preserve">Closing Costs (% of price)</t>
  </si>
  <si>
    <t xml:space="preserve">Total Acquisition Cost</t>
  </si>
  <si>
    <t xml:space="preserve">FINANCING</t>
  </si>
  <si>
    <t xml:space="preserve">Loan-to-Value (LTV)</t>
  </si>
  <si>
    <t xml:space="preserve">Loan Amount</t>
  </si>
  <si>
    <t xml:space="preserve">Interest Rate</t>
  </si>
  <si>
    <t xml:space="preserve">Amortization (years)</t>
  </si>
  <si>
    <t xml:space="preserve">Loan Term (years)</t>
  </si>
  <si>
    <t xml:space="preserve">Equity Required</t>
  </si>
  <si>
    <t xml:space="preserve">INCOME (Year 1 Stabilized)</t>
  </si>
  <si>
    <t xml:space="preserve">Gross Potential Rent — Y1 ($)</t>
  </si>
  <si>
    <t xml:space="preserve">Physical Vacancy</t>
  </si>
  <si>
    <t xml:space="preserve">Collections Loss</t>
  </si>
  <si>
    <t xml:space="preserve">Concessions</t>
  </si>
  <si>
    <t xml:space="preserve">Loss to Lease</t>
  </si>
  <si>
    <t xml:space="preserve">Other Income — Utility Reimbursements</t>
  </si>
  <si>
    <t xml:space="preserve">Other Income — Fees &amp; Late/Pet/Misc</t>
  </si>
  <si>
    <t xml:space="preserve">Annual Rent Growth (Years 2-5)</t>
  </si>
  <si>
    <t xml:space="preserve">Annual Other Income Growth</t>
  </si>
  <si>
    <t xml:space="preserve">OPERATING EXPENSES (Year 1)</t>
  </si>
  <si>
    <t xml:space="preserve">Real Estate Taxes ($)</t>
  </si>
  <si>
    <t xml:space="preserve">Insurance ($)</t>
  </si>
  <si>
    <t xml:space="preserve">Utilities — total ($)</t>
  </si>
  <si>
    <t xml:space="preserve">Repairs &amp; Maintenance ($)</t>
  </si>
  <si>
    <t xml:space="preserve">Marketing &amp; Advertising ($)</t>
  </si>
  <si>
    <t xml:space="preserve">Payroll ($)</t>
  </si>
  <si>
    <t xml:space="preserve">Landscaping / Contract Services ($)</t>
  </si>
  <si>
    <t xml:space="preserve">General &amp; Administrative ($)</t>
  </si>
  <si>
    <t xml:space="preserve">Legal &amp; Professional ($)</t>
  </si>
  <si>
    <t xml:space="preserve">Internet Service Contract ($)</t>
  </si>
  <si>
    <t xml:space="preserve">Management Fee (% of EGI)</t>
  </si>
  <si>
    <t xml:space="preserve">Annual Expense Growth (Years 2-5)</t>
  </si>
  <si>
    <t xml:space="preserve">Replacement Reserves per Unit ($)</t>
  </si>
  <si>
    <t xml:space="preserve">EXIT ASSUMPTIONS</t>
  </si>
  <si>
    <t xml:space="preserve">Exit Cap Rate</t>
  </si>
  <si>
    <t xml:space="preserve">Cost of Sale (% of price)</t>
  </si>
  <si>
    <t xml:space="preserve">Hold Period (years)</t>
  </si>
  <si>
    <t xml:space="preserve">RENT ROLL SUMMARY</t>
  </si>
  <si>
    <t xml:space="preserve">From broker's OM, page 23. As of 5/26/2026.</t>
  </si>
  <si>
    <t xml:space="preserve">Unit Type</t>
  </si>
  <si>
    <t xml:space="preserve"># Units</t>
  </si>
  <si>
    <t xml:space="preserve">Avg SqFt</t>
  </si>
  <si>
    <t xml:space="preserve">% Mix</t>
  </si>
  <si>
    <t xml:space="preserve">Current Rent</t>
  </si>
  <si>
    <t xml:space="preserve">Current Rent/SF</t>
  </si>
  <si>
    <t xml:space="preserve">Monthly Income</t>
  </si>
  <si>
    <t xml:space="preserve">Market Rent</t>
  </si>
  <si>
    <t xml:space="preserve">Monthly Potential</t>
  </si>
  <si>
    <t xml:space="preserve">Studio A Reno</t>
  </si>
  <si>
    <t xml:space="preserve">Studio B Reno</t>
  </si>
  <si>
    <t xml:space="preserve">Studio B Classic</t>
  </si>
  <si>
    <t xml:space="preserve">1 Bed - 1 Bath Reno</t>
  </si>
  <si>
    <t xml:space="preserve">1 Bed - 1 Bath Classic</t>
  </si>
  <si>
    <t xml:space="preserve">2 Bed - 2 Bath Reno</t>
  </si>
  <si>
    <t xml:space="preserve">TOTALS / WEIGHTED AVG</t>
  </si>
  <si>
    <t xml:space="preserve">GROSS ANNUALIZED RENT</t>
  </si>
  <si>
    <t xml:space="preserve">Current:</t>
  </si>
  <si>
    <t xml:space="preserve">Potential:</t>
  </si>
  <si>
    <t xml:space="preserve">OCCUPANCY (per Yardi rent roll 5/26/2026)</t>
  </si>
  <si>
    <t xml:space="preserve">Occupied Units:</t>
  </si>
  <si>
    <t xml:space="preserve">Vacant Units:</t>
  </si>
  <si>
    <t xml:space="preserve">Physical Occupancy:</t>
  </si>
  <si>
    <t xml:space="preserve">Note: Broker OM claims 97% occupancy. Actual rent roll = 93.94%.</t>
  </si>
  <si>
    <t xml:space="preserve">T-12 OPERATING STATEMENT</t>
  </si>
  <si>
    <t xml:space="preserve">Actual trailing 12 months: May 2025 - April 2026. Source: Broker's Yardi export.</t>
  </si>
  <si>
    <t xml:space="preserve">Line Item</t>
  </si>
  <si>
    <t xml:space="preserve">T-12 Total</t>
  </si>
  <si>
    <t xml:space="preserve">Per Unit</t>
  </si>
  <si>
    <t xml:space="preserve">Notes</t>
  </si>
  <si>
    <t xml:space="preserve">INCOME</t>
  </si>
  <si>
    <t xml:space="preserve">Gross Market Rent</t>
  </si>
  <si>
    <t xml:space="preserve">Loss / Gain to Lease</t>
  </si>
  <si>
    <t xml:space="preserve">Gross Scheduled Rent</t>
  </si>
  <si>
    <t xml:space="preserve">Collections Loss (write-offs)</t>
  </si>
  <si>
    <t xml:space="preserve">Elevated — real collection issues</t>
  </si>
  <si>
    <t xml:space="preserve">Net Rental Income</t>
  </si>
  <si>
    <t xml:space="preserve">Utility Reimbursements &amp; Fees</t>
  </si>
  <si>
    <t xml:space="preserve">Other Income (fees, late, pet, etc.)</t>
  </si>
  <si>
    <t xml:space="preserve">TOTAL REVENUE (EGI)</t>
  </si>
  <si>
    <t xml:space="preserve">EXPENSES</t>
  </si>
  <si>
    <t xml:space="preserve">Payroll</t>
  </si>
  <si>
    <t xml:space="preserve">Removed in pro forma (third-party PM)</t>
  </si>
  <si>
    <t xml:space="preserve">Repairs &amp; Maintenance</t>
  </si>
  <si>
    <t xml:space="preserve">Unsustainably low — increased in pro forma</t>
  </si>
  <si>
    <t xml:space="preserve">Marketing &amp; Advertising</t>
  </si>
  <si>
    <t xml:space="preserve">Landscaping</t>
  </si>
  <si>
    <t xml:space="preserve">Contract Services</t>
  </si>
  <si>
    <t xml:space="preserve">Rolled into Landscaping to match OM p.24</t>
  </si>
  <si>
    <t xml:space="preserve">General &amp; Administrative</t>
  </si>
  <si>
    <t xml:space="preserve">Includes turnover, admin fees</t>
  </si>
  <si>
    <t xml:space="preserve">Legal &amp; Professional</t>
  </si>
  <si>
    <t xml:space="preserve">Internet Service Contract</t>
  </si>
  <si>
    <t xml:space="preserve">Utilities (Electric)</t>
  </si>
  <si>
    <t xml:space="preserve">Utilities (Gas)</t>
  </si>
  <si>
    <t xml:space="preserve">Utilities (Water/Sewer)</t>
  </si>
  <si>
    <t xml:space="preserve">Trash Removal</t>
  </si>
  <si>
    <t xml:space="preserve">Management Fee</t>
  </si>
  <si>
    <t xml:space="preserve">Real Estate Taxes</t>
  </si>
  <si>
    <t xml:space="preserve">Insurance</t>
  </si>
  <si>
    <t xml:space="preserve">TOTAL OPERATING EXPENSES</t>
  </si>
  <si>
    <t xml:space="preserve">NET OPERATING INCOME (T-12)</t>
  </si>
  <si>
    <t xml:space="preserve">Expense Ratio</t>
  </si>
  <si>
    <t xml:space="preserve">Cap Rate on Asking Price</t>
  </si>
  <si>
    <t xml:space="preserve">← This is the HONEST cap rate. Broker claims 7.95%.</t>
  </si>
  <si>
    <t xml:space="preserve">YEAR 1 STABILIZED PRO FORMA</t>
  </si>
  <si>
    <t xml:space="preserve">Underwritten with honest assumptions. All inputs live in the Assumptions tab.</t>
  </si>
  <si>
    <t xml:space="preserve">Year 1</t>
  </si>
  <si>
    <t xml:space="preserve">Basis</t>
  </si>
  <si>
    <t xml:space="preserve">Gross Potential Rent</t>
  </si>
  <si>
    <t xml:space="preserve">From Assumptions</t>
  </si>
  <si>
    <t xml:space="preserve">Less: Loss to Lease</t>
  </si>
  <si>
    <t xml:space="preserve">Less: Physical Vacancy</t>
  </si>
  <si>
    <t xml:space="preserve">Less: Collections Loss</t>
  </si>
  <si>
    <t xml:space="preserve">Less: Concessions</t>
  </si>
  <si>
    <t xml:space="preserve">Effective Rental Income</t>
  </si>
  <si>
    <t xml:space="preserve">Plus: Utility Reimbursements</t>
  </si>
  <si>
    <t xml:space="preserve">Plus: Other Income</t>
  </si>
  <si>
    <t xml:space="preserve">EFFECTIVE GROSS INCOME (EGI)</t>
  </si>
  <si>
    <t xml:space="preserve">OPERATING EXPENSES</t>
  </si>
  <si>
    <t xml:space="preserve">Utilities (all)</t>
  </si>
  <si>
    <t xml:space="preserve">Landscaping / Contract</t>
  </si>
  <si>
    <t xml:space="preserve">Management Fee (8% of EGI)</t>
  </si>
  <si>
    <t xml:space="preserve">Expense Ratio (% of EGI)</t>
  </si>
  <si>
    <t xml:space="preserve">NET OPERATING INCOME</t>
  </si>
  <si>
    <t xml:space="preserve">Less: Replacement Reserves</t>
  </si>
  <si>
    <t xml:space="preserve">NOI AFTER RESERVES</t>
  </si>
  <si>
    <t xml:space="preserve">IMPLIED CAP RATE ANALYSIS</t>
  </si>
  <si>
    <t xml:space="preserve">Cap Rate on NOI (before reserves)</t>
  </si>
  <si>
    <t xml:space="preserve">Cap Rate on NOI (after reserves)</t>
  </si>
  <si>
    <t xml:space="preserve">Compare to broker's claimed 7.95% cap and market cap of 6.38%.</t>
  </si>
  <si>
    <t xml:space="preserve">DEBT SCHEDULE</t>
  </si>
  <si>
    <t xml:space="preserve">5-year amortization with 25-year amort period.</t>
  </si>
  <si>
    <t xml:space="preserve">Loan Amount:</t>
  </si>
  <si>
    <t xml:space="preserve">Interest Rate:</t>
  </si>
  <si>
    <t xml:space="preserve">Amortization:</t>
  </si>
  <si>
    <t xml:space="preserve">Annual Debt Service:</t>
  </si>
  <si>
    <t xml:space="preserve">← annual P&amp;I payment</t>
  </si>
  <si>
    <t xml:space="preserve">AMORTIZATION SCHEDULE</t>
  </si>
  <si>
    <t xml:space="preserve">Year</t>
  </si>
  <si>
    <t xml:space="preserve">Beginning Balance</t>
  </si>
  <si>
    <t xml:space="preserve">Interest</t>
  </si>
  <si>
    <t xml:space="preserve">Principal</t>
  </si>
  <si>
    <t xml:space="preserve">Total Payment</t>
  </si>
  <si>
    <t xml:space="preserve">Ending Balance</t>
  </si>
  <si>
    <t xml:space="preserve">5-YEAR CASH FLOW PROJECTION</t>
  </si>
  <si>
    <t xml:space="preserve">All figures grow per Assumptions tab. Debt service from Debt Schedule.</t>
  </si>
  <si>
    <t xml:space="preserve">Year 2</t>
  </si>
  <si>
    <t xml:space="preserve">Year 3</t>
  </si>
  <si>
    <t xml:space="preserve">Year 4</t>
  </si>
  <si>
    <t xml:space="preserve">Year 5</t>
  </si>
  <si>
    <t xml:space="preserve">Utility Reimbursements</t>
  </si>
  <si>
    <t xml:space="preserve">Other Income</t>
  </si>
  <si>
    <t xml:space="preserve">EFFECTIVE GROSS INCOME</t>
  </si>
  <si>
    <t xml:space="preserve">Utilities</t>
  </si>
  <si>
    <t xml:space="preserve">Internet Service</t>
  </si>
  <si>
    <t xml:space="preserve">Less: Debt Service</t>
  </si>
  <si>
    <t xml:space="preserve">CASH FLOW AFTER DEBT SERVICE</t>
  </si>
  <si>
    <t xml:space="preserve">Debt Service Coverage Ratio (DSCR)</t>
  </si>
  <si>
    <t xml:space="preserve">Cash-on-Cash Return</t>
  </si>
  <si>
    <t xml:space="preserve">RETURNS SUMMARY</t>
  </si>
  <si>
    <t xml:space="preserve">IRR, equity multiple, exit assumptions.</t>
  </si>
  <si>
    <t xml:space="preserve">EXIT (YEAR 5)</t>
  </si>
  <si>
    <t xml:space="preserve">Year 5 NOI</t>
  </si>
  <si>
    <t xml:space="preserve">Gross Sale Price</t>
  </si>
  <si>
    <t xml:space="preserve">Cost of Sale</t>
  </si>
  <si>
    <t xml:space="preserve">Loan Balance at Sale</t>
  </si>
  <si>
    <t xml:space="preserve">← Year 5 ending balance</t>
  </si>
  <si>
    <t xml:space="preserve">NET SALE PROCEEDS</t>
  </si>
  <si>
    <t xml:space="preserve">CASH FLOWS FOR IRR</t>
  </si>
  <si>
    <t xml:space="preserve">Year 0 — Initial Equity</t>
  </si>
  <si>
    <t xml:space="preserve">Year 1 — Cash Flow</t>
  </si>
  <si>
    <t xml:space="preserve">Year 2 — Cash Flow</t>
  </si>
  <si>
    <t xml:space="preserve">Year 3 — Cash Flow</t>
  </si>
  <si>
    <t xml:space="preserve">Year 4 — Cash Flow</t>
  </si>
  <si>
    <t xml:space="preserve">Year 5 — Cash Flow + Net Sale</t>
  </si>
  <si>
    <t xml:space="preserve">RETURNS</t>
  </si>
  <si>
    <t xml:space="preserve">IRR (Levered)</t>
  </si>
  <si>
    <t xml:space="preserve">Equity Multiple</t>
  </si>
  <si>
    <t xml:space="preserve">Total Equity Invested</t>
  </si>
  <si>
    <t xml:space="preserve">Total Cash Distributed</t>
  </si>
  <si>
    <t xml:space="preserve">Net Profit</t>
  </si>
  <si>
    <t xml:space="preserve">SENSITIVITY ANALYSIS</t>
  </si>
  <si>
    <t xml:space="preserve">How IRR changes across purchase prices and exit cap rates.</t>
  </si>
  <si>
    <t xml:space="preserve">Note: These tables show what IRR would result at various purchase prices and exit caps.</t>
  </si>
  <si>
    <t xml:space="preserve">To compute exact values, change the assumptions and observe the Returns tab.</t>
  </si>
  <si>
    <t xml:space="preserve">The values below are illustrative — showing which cells to test manually.</t>
  </si>
  <si>
    <t xml:space="preserve">IRR by Purchase Price × Exit Cap</t>
  </si>
  <si>
    <t xml:space="preserve">Purchase Price →</t>
  </si>
  <si>
    <t xml:space="preserve">Exit Cap ↓</t>
  </si>
  <si>
    <t xml:space="preserve">See Returns</t>
  </si>
  <si>
    <t xml:space="preserve">How to use this table:</t>
  </si>
  <si>
    <t xml:space="preserve">1. Note current settings: Purchase Price and Exit Cap on the Assumptions tab.</t>
  </si>
  <si>
    <t xml:space="preserve">2. Change either input to a value from this grid.</t>
  </si>
  <si>
    <t xml:space="preserve">3. Read the resulting IRR from the Returns tab.</t>
  </si>
  <si>
    <t xml:space="preserve">4. Restore the base case when done.</t>
  </si>
  <si>
    <t xml:space="preserve">KEY REFERENCE POINTS</t>
  </si>
  <si>
    <t xml:space="preserve">Broker's claimed cap rate:</t>
  </si>
  <si>
    <t xml:space="preserve">T-12 actual cap rate at ask:</t>
  </si>
  <si>
    <t xml:space="preserve">Brownsburg submarket cap (per OM):</t>
  </si>
  <si>
    <t xml:space="preserve">Model's Year 1 cap on ask (honest UW):</t>
  </si>
  <si>
    <t xml:space="preserve">RENT COMPS — INDEPENDENT VERIFICATION</t>
  </si>
  <si>
    <t xml:space="preserve">Sourced from Apartments.com, July 2026. Distances estimated.</t>
  </si>
  <si>
    <t xml:space="preserve">Property</t>
  </si>
  <si>
    <t xml:space="preserve">Submarket</t>
  </si>
  <si>
    <t xml:space="preserve">Distance (mi)</t>
  </si>
  <si>
    <t xml:space="preserve">SqFt</t>
  </si>
  <si>
    <t xml:space="preserve">Rent</t>
  </si>
  <si>
    <t xml:space="preserve">Rent/SqFt</t>
  </si>
  <si>
    <t xml:space="preserve">Eagle Creek by Spark Living</t>
  </si>
  <si>
    <t xml:space="preserve">Indianapolis 46234</t>
  </si>
  <si>
    <t xml:space="preserve">1BR</t>
  </si>
  <si>
    <t xml:space="preserve">The Landing (2023 build)</t>
  </si>
  <si>
    <t xml:space="preserve">Steeplechase at Shiloh Crossing</t>
  </si>
  <si>
    <t xml:space="preserve">Avon 46123</t>
  </si>
  <si>
    <t xml:space="preserve">Steeplechase at Shiloh Crossing — Renovated</t>
  </si>
  <si>
    <t xml:space="preserve">1BR Renovated</t>
  </si>
  <si>
    <t xml:space="preserve">Regency Preserve (duplex)</t>
  </si>
  <si>
    <t xml:space="preserve">The Coil (Broad Ripple)</t>
  </si>
  <si>
    <t xml:space="preserve">Indianapolis 46220</t>
  </si>
  <si>
    <t xml:space="preserve">Studio</t>
  </si>
  <si>
    <t xml:space="preserve">Rise on Meridian (Downtown)</t>
  </si>
  <si>
    <t xml:space="preserve">Indianapolis 46225</t>
  </si>
  <si>
    <t xml:space="preserve">Vivio on Tenth (student)</t>
  </si>
  <si>
    <t xml:space="preserve">Indianapolis 46222</t>
  </si>
  <si>
    <t xml:space="preserve">Lake Castleton</t>
  </si>
  <si>
    <t xml:space="preserve">Indianapolis 46256</t>
  </si>
  <si>
    <t xml:space="preserve">SUBJECT — WINDMILL APARTMENTS</t>
  </si>
  <si>
    <t xml:space="preserve">Windmill — Studio A Reno</t>
  </si>
  <si>
    <t xml:space="preserve">Windmill — Studio B Reno</t>
  </si>
  <si>
    <t xml:space="preserve">Windmill — 1BR/1BA Reno</t>
  </si>
  <si>
    <t xml:space="preserve">Windmill — 1BR/1BA Classic</t>
  </si>
  <si>
    <t xml:space="preserve">ANALYSIS</t>
  </si>
  <si>
    <t xml:space="preserve">1. Windmill's 1BR rent/sqft ($2.10-$2.26) is comparable to Eagle Creek at $1.25/sqft — Windmill is ABOVE market on $/sqft basis.</t>
  </si>
  <si>
    <t xml:space="preserve">2. Windmill's studios at $3.17-$3.21/sqft are AT OR ABOVE the top of the studio comp range ($2.10-$3.21/sqft) — those comps are urban Broad Ripple/Downtown.</t>
  </si>
  <si>
    <t xml:space="preserve">3. Broker's 'below-market rent' story is largely FALSE. Unit size is the constraint, not rent.</t>
  </si>
  <si>
    <t xml:space="preserve">4. Reasonable rent lift per renovated unit is $25-$50/month, not the $75-$100 broker implies.</t>
  </si>
  <si>
    <t xml:space="preserve">5. Value-add thesis is weakened. Main upside comes from operations (mgmt change, R&amp;M discipline) not rent.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</si>
</sst>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;\(#,##0\);\-"/>
    <numFmt numFmtId="167" formatCode="0.0%"/>
    <numFmt numFmtId="168" formatCode="\$#,##0.00;&quot;($&quot;#,##0.00\);\-"/>
    <numFmt numFmtId="169" formatCode="0.00%"/>
    <numFmt numFmtId="170" formatCode="0.00\x"/>
    <numFmt numFmtId="171" formatCode="0.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F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AAAAAA"/>
      <name val="Arial"/>
      <family val="0"/>
      <charset val="1"/>
    </font>
    <font>
      <sz val="10"/>
      <color rgb="FF333333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EEEEEE"/>
      </patternFill>
    </fill>
    <fill>
      <patternFill patternType="solid">
        <fgColor rgb="FF1F4E5F"/>
        <bgColor rgb="FF333333"/>
      </patternFill>
    </fill>
    <fill>
      <patternFill patternType="solid">
        <fgColor rgb="FFEEEEEE"/>
        <bgColor rgb="FFD9E2E8"/>
      </patternFill>
    </fill>
    <fill>
      <patternFill patternType="solid">
        <fgColor rgb="FFD9E2E8"/>
        <bgColor rgb="FFEEEE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45"/>
    <col collapsed="false" customWidth="true" hidden="false" outlineLevel="0" max="6" min="4" style="1" width="2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1" t="s">
        <v>3</v>
      </c>
    </row>
    <row r="6" customFormat="false" ht="15" hidden="false" customHeight="true" outlineLevel="0" collapsed="false">
      <c r="B6" s="4" t="s">
        <v>4</v>
      </c>
      <c r="C6" s="1" t="s">
        <v>5</v>
      </c>
    </row>
    <row r="7" customFormat="false" ht="15" hidden="false" customHeight="true" outlineLevel="0" collapsed="false">
      <c r="B7" s="4" t="s">
        <v>6</v>
      </c>
      <c r="C7" s="1" t="s">
        <v>7</v>
      </c>
    </row>
    <row r="8" customFormat="false" ht="15" hidden="false" customHeight="true" outlineLevel="0" collapsed="false">
      <c r="B8" s="4" t="s">
        <v>8</v>
      </c>
      <c r="C8" s="1" t="s">
        <v>9</v>
      </c>
    </row>
    <row r="9" customFormat="false" ht="15" hidden="false" customHeight="true" outlineLevel="0" collapsed="false">
      <c r="B9" s="4" t="s">
        <v>10</v>
      </c>
      <c r="C9" s="5" t="n">
        <v>3120000</v>
      </c>
    </row>
    <row r="10" customFormat="false" ht="15" hidden="false" customHeight="true" outlineLevel="0" collapsed="false">
      <c r="B10" s="4" t="s">
        <v>11</v>
      </c>
      <c r="C10" s="6" t="n">
        <f aca="false">C9/33</f>
        <v>94545.4545454545</v>
      </c>
    </row>
    <row r="12" customFormat="false" ht="15" hidden="false" customHeight="true" outlineLevel="0" collapsed="false">
      <c r="B12" s="7" t="s">
        <v>12</v>
      </c>
    </row>
    <row r="13" customFormat="false" ht="15" hidden="false" customHeight="true" outlineLevel="0" collapsed="false">
      <c r="B13" s="4" t="s">
        <v>13</v>
      </c>
      <c r="C13" s="1" t="s">
        <v>14</v>
      </c>
    </row>
    <row r="14" customFormat="false" ht="15" hidden="false" customHeight="true" outlineLevel="0" collapsed="false">
      <c r="B14" s="4" t="s">
        <v>15</v>
      </c>
      <c r="C14" s="1" t="s">
        <v>16</v>
      </c>
    </row>
    <row r="15" customFormat="false" ht="15" hidden="false" customHeight="true" outlineLevel="0" collapsed="false">
      <c r="B15" s="4" t="s">
        <v>17</v>
      </c>
      <c r="C15" s="1" t="s">
        <v>18</v>
      </c>
    </row>
    <row r="16" customFormat="false" ht="15" hidden="false" customHeight="true" outlineLevel="0" collapsed="false">
      <c r="B16" s="4" t="s">
        <v>19</v>
      </c>
      <c r="C16" s="1" t="s">
        <v>20</v>
      </c>
    </row>
    <row r="17" customFormat="false" ht="15" hidden="false" customHeight="true" outlineLevel="0" collapsed="false">
      <c r="B17" s="4" t="s">
        <v>21</v>
      </c>
      <c r="C17" s="1" t="s">
        <v>22</v>
      </c>
    </row>
    <row r="18" customFormat="false" ht="15" hidden="false" customHeight="true" outlineLevel="0" collapsed="false">
      <c r="B18" s="4" t="s">
        <v>23</v>
      </c>
      <c r="C18" s="1" t="s">
        <v>24</v>
      </c>
    </row>
    <row r="19" customFormat="false" ht="15" hidden="false" customHeight="true" outlineLevel="0" collapsed="false">
      <c r="B19" s="4" t="s">
        <v>25</v>
      </c>
      <c r="C19" s="1" t="s">
        <v>26</v>
      </c>
    </row>
    <row r="20" customFormat="false" ht="15" hidden="false" customHeight="true" outlineLevel="0" collapsed="false">
      <c r="B20" s="4" t="s">
        <v>27</v>
      </c>
      <c r="C20" s="1" t="s">
        <v>28</v>
      </c>
    </row>
    <row r="21" customFormat="false" ht="15" hidden="false" customHeight="true" outlineLevel="0" collapsed="false">
      <c r="B21" s="4" t="s">
        <v>29</v>
      </c>
      <c r="C21" s="1" t="s">
        <v>30</v>
      </c>
    </row>
    <row r="24" customFormat="false" ht="15" hidden="false" customHeight="true" outlineLevel="0" collapsed="false">
      <c r="B24" s="7" t="s">
        <v>31</v>
      </c>
    </row>
    <row r="25" customFormat="false" ht="15" hidden="false" customHeight="true" outlineLevel="0" collapsed="false">
      <c r="B25" s="8" t="s">
        <v>32</v>
      </c>
    </row>
    <row r="26" customFormat="false" ht="15" hidden="false" customHeight="true" outlineLevel="0" collapsed="false">
      <c r="B26" s="9" t="s">
        <v>33</v>
      </c>
    </row>
    <row r="27" customFormat="false" ht="15" hidden="false" customHeight="true" outlineLevel="0" collapsed="false">
      <c r="B27" s="10" t="s">
        <v>34</v>
      </c>
    </row>
    <row r="28" customFormat="false" ht="15" hidden="false" customHeight="true" outlineLevel="0" collapsed="false">
      <c r="B28" s="11" t="s">
        <v>35</v>
      </c>
    </row>
    <row r="30" customFormat="false" ht="15" hidden="false" customHeight="true" outlineLevel="0" collapsed="false">
      <c r="B30" s="12" t="s">
        <v>36</v>
      </c>
    </row>
    <row r="31" customFormat="false" ht="15" hidden="false" customHeight="true" outlineLevel="0" collapsed="false">
      <c r="B31" s="13" t="s">
        <v>37</v>
      </c>
    </row>
    <row r="32" customFormat="false" ht="15" hidden="false" customHeight="true" outlineLevel="0" collapsed="false">
      <c r="B32" s="13" t="s">
        <v>38</v>
      </c>
    </row>
    <row r="33" customFormat="false" ht="15" hidden="false" customHeight="true" outlineLevel="0" collapsed="false">
      <c r="B33" s="13" t="s">
        <v>39</v>
      </c>
    </row>
    <row r="34" customFormat="false" ht="15" hidden="false" customHeight="true" outlineLevel="0" collapsed="false">
      <c r="B34" s="13"/>
    </row>
    <row r="35" customFormat="false" ht="15" hidden="false" customHeight="true" outlineLevel="0" collapsed="false">
      <c r="B35" s="13" t="s">
        <v>40</v>
      </c>
    </row>
    <row r="36" customFormat="false" ht="15" hidden="false" customHeight="true" outlineLevel="0" collapsed="false">
      <c r="B36" s="13" t="s">
        <v>41</v>
      </c>
    </row>
    <row r="37" customFormat="false" ht="15" hidden="false" customHeight="true" outlineLevel="0" collapsed="false">
      <c r="B37" s="13" t="s">
        <v>42</v>
      </c>
    </row>
    <row r="38" customFormat="false" ht="15" hidden="false" customHeight="true" outlineLevel="0" collapsed="false">
      <c r="B38" s="13" t="s">
        <v>43</v>
      </c>
    </row>
    <row r="39" customFormat="false" ht="15" hidden="false" customHeight="true" outlineLevel="0" collapsed="false">
      <c r="B39" s="13"/>
    </row>
    <row r="40" customFormat="false" ht="15" hidden="false" customHeight="true" outlineLevel="0" collapsed="false">
      <c r="B40" s="1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40"/>
  </cols>
  <sheetData>
    <row r="2" customFormat="false" ht="17.25" hidden="false" customHeight="true" outlineLevel="0" collapsed="false">
      <c r="B2" s="14" t="s">
        <v>45</v>
      </c>
    </row>
    <row r="3" customFormat="false" ht="15" hidden="false" customHeight="true" outlineLevel="0" collapsed="false">
      <c r="B3" s="15" t="s">
        <v>46</v>
      </c>
    </row>
    <row r="5" customFormat="false" ht="15" hidden="false" customHeight="true" outlineLevel="0" collapsed="false">
      <c r="A5" s="16" t="s">
        <v>47</v>
      </c>
      <c r="B5" s="17"/>
      <c r="C5" s="17"/>
      <c r="D5" s="17"/>
      <c r="E5" s="17"/>
      <c r="F5" s="17"/>
    </row>
    <row r="6" customFormat="false" ht="15" hidden="false" customHeight="true" outlineLevel="0" collapsed="false">
      <c r="B6" s="1" t="s">
        <v>48</v>
      </c>
      <c r="C6" s="18" t="n">
        <v>3120000</v>
      </c>
    </row>
    <row r="7" customFormat="false" ht="15" hidden="false" customHeight="true" outlineLevel="0" collapsed="false">
      <c r="B7" s="1" t="s">
        <v>49</v>
      </c>
      <c r="C7" s="19" t="n">
        <v>33</v>
      </c>
    </row>
    <row r="8" customFormat="false" ht="15" hidden="false" customHeight="true" outlineLevel="0" collapsed="false">
      <c r="B8" s="1" t="s">
        <v>50</v>
      </c>
      <c r="C8" s="20" t="n">
        <f aca="false">C6/C7</f>
        <v>94545.4545454545</v>
      </c>
    </row>
    <row r="9" customFormat="false" ht="15" hidden="false" customHeight="true" outlineLevel="0" collapsed="false">
      <c r="B9" s="1" t="s">
        <v>51</v>
      </c>
      <c r="C9" s="21" t="n">
        <v>0.02</v>
      </c>
    </row>
    <row r="10" customFormat="false" ht="15" hidden="false" customHeight="true" outlineLevel="0" collapsed="false">
      <c r="B10" s="1" t="s">
        <v>52</v>
      </c>
      <c r="C10" s="20" t="n">
        <f aca="false">C6+C6*C9</f>
        <v>3182400</v>
      </c>
    </row>
    <row r="12" customFormat="false" ht="15" hidden="false" customHeight="true" outlineLevel="0" collapsed="false">
      <c r="A12" s="16" t="s">
        <v>53</v>
      </c>
      <c r="B12" s="17"/>
      <c r="C12" s="17"/>
      <c r="D12" s="17"/>
      <c r="E12" s="17"/>
      <c r="F12" s="17"/>
    </row>
    <row r="13" customFormat="false" ht="15" hidden="false" customHeight="true" outlineLevel="0" collapsed="false">
      <c r="B13" s="1" t="s">
        <v>54</v>
      </c>
      <c r="C13" s="21" t="n">
        <v>0.7</v>
      </c>
    </row>
    <row r="14" customFormat="false" ht="15" hidden="false" customHeight="true" outlineLevel="0" collapsed="false">
      <c r="B14" s="1" t="s">
        <v>55</v>
      </c>
      <c r="C14" s="20" t="n">
        <f aca="false">C6*C13</f>
        <v>2184000</v>
      </c>
    </row>
    <row r="15" customFormat="false" ht="15" hidden="false" customHeight="true" outlineLevel="0" collapsed="false">
      <c r="B15" s="1" t="s">
        <v>56</v>
      </c>
      <c r="C15" s="21" t="n">
        <v>0.0675</v>
      </c>
    </row>
    <row r="16" customFormat="false" ht="15" hidden="false" customHeight="true" outlineLevel="0" collapsed="false">
      <c r="B16" s="1" t="s">
        <v>57</v>
      </c>
      <c r="C16" s="19" t="n">
        <v>25</v>
      </c>
    </row>
    <row r="17" customFormat="false" ht="15" hidden="false" customHeight="true" outlineLevel="0" collapsed="false">
      <c r="B17" s="1" t="s">
        <v>58</v>
      </c>
      <c r="C17" s="19" t="n">
        <v>5</v>
      </c>
    </row>
    <row r="18" customFormat="false" ht="15" hidden="false" customHeight="true" outlineLevel="0" collapsed="false">
      <c r="B18" s="1" t="s">
        <v>59</v>
      </c>
      <c r="C18" s="20" t="n">
        <f aca="false">C10-C14</f>
        <v>998400</v>
      </c>
    </row>
    <row r="20" customFormat="false" ht="15" hidden="false" customHeight="true" outlineLevel="0" collapsed="false">
      <c r="A20" s="16" t="s">
        <v>60</v>
      </c>
      <c r="B20" s="17"/>
      <c r="C20" s="17"/>
      <c r="D20" s="17"/>
      <c r="E20" s="17"/>
      <c r="F20" s="17"/>
    </row>
    <row r="21" customFormat="false" ht="15" hidden="false" customHeight="true" outlineLevel="0" collapsed="false">
      <c r="B21" s="1" t="s">
        <v>61</v>
      </c>
      <c r="C21" s="18" t="n">
        <v>377760</v>
      </c>
    </row>
    <row r="22" customFormat="false" ht="15" hidden="false" customHeight="true" outlineLevel="0" collapsed="false">
      <c r="B22" s="1" t="s">
        <v>62</v>
      </c>
      <c r="C22" s="21" t="n">
        <v>0.05</v>
      </c>
    </row>
    <row r="23" customFormat="false" ht="15" hidden="false" customHeight="true" outlineLevel="0" collapsed="false">
      <c r="B23" s="1" t="s">
        <v>63</v>
      </c>
      <c r="C23" s="21" t="n">
        <v>0.035</v>
      </c>
    </row>
    <row r="24" customFormat="false" ht="15" hidden="false" customHeight="true" outlineLevel="0" collapsed="false">
      <c r="B24" s="1" t="s">
        <v>64</v>
      </c>
      <c r="C24" s="21" t="n">
        <v>0.015</v>
      </c>
    </row>
    <row r="25" customFormat="false" ht="15" hidden="false" customHeight="true" outlineLevel="0" collapsed="false">
      <c r="B25" s="1" t="s">
        <v>65</v>
      </c>
      <c r="C25" s="21" t="n">
        <v>0.02</v>
      </c>
    </row>
    <row r="26" customFormat="false" ht="15" hidden="false" customHeight="true" outlineLevel="0" collapsed="false">
      <c r="B26" s="1" t="s">
        <v>66</v>
      </c>
      <c r="C26" s="18" t="n">
        <v>74763</v>
      </c>
    </row>
    <row r="27" customFormat="false" ht="15" hidden="false" customHeight="true" outlineLevel="0" collapsed="false">
      <c r="B27" s="1" t="s">
        <v>67</v>
      </c>
      <c r="C27" s="18" t="n">
        <v>27955</v>
      </c>
    </row>
    <row r="28" customFormat="false" ht="15" hidden="false" customHeight="true" outlineLevel="0" collapsed="false">
      <c r="B28" s="1" t="s">
        <v>68</v>
      </c>
      <c r="C28" s="21" t="n">
        <v>0.025</v>
      </c>
    </row>
    <row r="29" customFormat="false" ht="15" hidden="false" customHeight="true" outlineLevel="0" collapsed="false">
      <c r="B29" s="1" t="s">
        <v>69</v>
      </c>
      <c r="C29" s="21" t="n">
        <v>0.02</v>
      </c>
    </row>
    <row r="31" customFormat="false" ht="15" hidden="false" customHeight="true" outlineLevel="0" collapsed="false">
      <c r="A31" s="16" t="s">
        <v>70</v>
      </c>
      <c r="B31" s="17"/>
      <c r="C31" s="17"/>
      <c r="D31" s="17"/>
      <c r="E31" s="17"/>
      <c r="F31" s="17"/>
    </row>
    <row r="32" customFormat="false" ht="15" hidden="false" customHeight="true" outlineLevel="0" collapsed="false">
      <c r="B32" s="1" t="s">
        <v>71</v>
      </c>
      <c r="C32" s="18" t="n">
        <v>29200</v>
      </c>
    </row>
    <row r="33" customFormat="false" ht="15" hidden="false" customHeight="true" outlineLevel="0" collapsed="false">
      <c r="B33" s="1" t="s">
        <v>72</v>
      </c>
      <c r="C33" s="18" t="n">
        <v>11550</v>
      </c>
    </row>
    <row r="34" customFormat="false" ht="15" hidden="false" customHeight="true" outlineLevel="0" collapsed="false">
      <c r="B34" s="1" t="s">
        <v>73</v>
      </c>
      <c r="C34" s="18" t="n">
        <v>44479</v>
      </c>
    </row>
    <row r="35" customFormat="false" ht="15" hidden="false" customHeight="true" outlineLevel="0" collapsed="false">
      <c r="B35" s="1" t="s">
        <v>74</v>
      </c>
      <c r="C35" s="18" t="n">
        <v>16500</v>
      </c>
    </row>
    <row r="36" customFormat="false" ht="15" hidden="false" customHeight="true" outlineLevel="0" collapsed="false">
      <c r="B36" s="1" t="s">
        <v>75</v>
      </c>
      <c r="C36" s="18" t="n">
        <v>8250</v>
      </c>
    </row>
    <row r="37" customFormat="false" ht="15" hidden="false" customHeight="true" outlineLevel="0" collapsed="false">
      <c r="B37" s="1" t="s">
        <v>76</v>
      </c>
      <c r="C37" s="18" t="n">
        <v>0</v>
      </c>
    </row>
    <row r="38" customFormat="false" ht="15" hidden="false" customHeight="true" outlineLevel="0" collapsed="false">
      <c r="B38" s="1" t="s">
        <v>77</v>
      </c>
      <c r="C38" s="18" t="n">
        <v>5703</v>
      </c>
    </row>
    <row r="39" customFormat="false" ht="15" hidden="false" customHeight="true" outlineLevel="0" collapsed="false">
      <c r="B39" s="1" t="s">
        <v>78</v>
      </c>
      <c r="C39" s="18" t="n">
        <v>10064</v>
      </c>
    </row>
    <row r="40" customFormat="false" ht="15" hidden="false" customHeight="true" outlineLevel="0" collapsed="false">
      <c r="B40" s="1" t="s">
        <v>79</v>
      </c>
      <c r="C40" s="18" t="n">
        <v>4771</v>
      </c>
    </row>
    <row r="41" customFormat="false" ht="15" hidden="false" customHeight="true" outlineLevel="0" collapsed="false">
      <c r="B41" s="1" t="s">
        <v>80</v>
      </c>
      <c r="C41" s="18" t="n">
        <v>8449</v>
      </c>
    </row>
    <row r="42" customFormat="false" ht="15" hidden="false" customHeight="true" outlineLevel="0" collapsed="false">
      <c r="B42" s="1" t="s">
        <v>81</v>
      </c>
      <c r="C42" s="21" t="n">
        <v>0.08</v>
      </c>
    </row>
    <row r="43" customFormat="false" ht="15" hidden="false" customHeight="true" outlineLevel="0" collapsed="false">
      <c r="B43" s="1" t="s">
        <v>82</v>
      </c>
      <c r="C43" s="21" t="n">
        <v>0.03</v>
      </c>
    </row>
    <row r="44" customFormat="false" ht="15" hidden="false" customHeight="true" outlineLevel="0" collapsed="false">
      <c r="B44" s="1" t="s">
        <v>83</v>
      </c>
      <c r="C44" s="18" t="n">
        <v>300</v>
      </c>
    </row>
    <row r="46" customFormat="false" ht="15" hidden="false" customHeight="true" outlineLevel="0" collapsed="false">
      <c r="A46" s="16" t="s">
        <v>84</v>
      </c>
      <c r="B46" s="17"/>
      <c r="C46" s="17"/>
      <c r="D46" s="17"/>
      <c r="E46" s="17"/>
      <c r="F46" s="17"/>
    </row>
    <row r="47" customFormat="false" ht="15" hidden="false" customHeight="true" outlineLevel="0" collapsed="false">
      <c r="B47" s="1" t="s">
        <v>85</v>
      </c>
      <c r="C47" s="21" t="n">
        <v>0.075</v>
      </c>
    </row>
    <row r="48" customFormat="false" ht="15" hidden="false" customHeight="true" outlineLevel="0" collapsed="false">
      <c r="B48" s="1" t="s">
        <v>86</v>
      </c>
      <c r="C48" s="21" t="n">
        <v>0.05</v>
      </c>
    </row>
    <row r="49" customFormat="false" ht="15" hidden="false" customHeight="true" outlineLevel="0" collapsed="false">
      <c r="B49" s="1" t="s">
        <v>87</v>
      </c>
      <c r="C49" s="19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5" min="3" style="1" width="10"/>
    <col collapsed="false" customWidth="true" hidden="false" outlineLevel="0" max="10" min="6" style="1" width="13"/>
  </cols>
  <sheetData>
    <row r="2" customFormat="false" ht="17.25" hidden="false" customHeight="true" outlineLevel="0" collapsed="false">
      <c r="B2" s="14" t="s">
        <v>88</v>
      </c>
    </row>
    <row r="3" customFormat="false" ht="15" hidden="false" customHeight="true" outlineLevel="0" collapsed="false">
      <c r="B3" s="15" t="s">
        <v>89</v>
      </c>
    </row>
    <row r="5" customFormat="false" ht="23.25" hidden="false" customHeight="true" outlineLevel="0" collapsed="false">
      <c r="B5" s="22" t="s">
        <v>90</v>
      </c>
      <c r="C5" s="22" t="s">
        <v>91</v>
      </c>
      <c r="D5" s="22" t="s">
        <v>92</v>
      </c>
      <c r="E5" s="22" t="s">
        <v>93</v>
      </c>
      <c r="F5" s="22" t="s">
        <v>94</v>
      </c>
      <c r="G5" s="22" t="s">
        <v>95</v>
      </c>
      <c r="H5" s="22" t="s">
        <v>96</v>
      </c>
      <c r="I5" s="22" t="s">
        <v>97</v>
      </c>
      <c r="J5" s="22" t="s">
        <v>98</v>
      </c>
    </row>
    <row r="6" customFormat="false" ht="15" hidden="false" customHeight="true" outlineLevel="0" collapsed="false">
      <c r="B6" s="1" t="s">
        <v>99</v>
      </c>
      <c r="C6" s="23" t="n">
        <v>9</v>
      </c>
      <c r="D6" s="23" t="n">
        <v>226</v>
      </c>
      <c r="E6" s="24" t="n">
        <f aca="false">C6/33</f>
        <v>0.272727272727273</v>
      </c>
      <c r="F6" s="25" t="n">
        <v>725</v>
      </c>
      <c r="G6" s="26" t="n">
        <f aca="false">F6/D6</f>
        <v>3.20796460176991</v>
      </c>
      <c r="H6" s="6" t="n">
        <f aca="false">C6*F6</f>
        <v>6525</v>
      </c>
      <c r="I6" s="25" t="n">
        <v>800</v>
      </c>
      <c r="J6" s="6" t="n">
        <f aca="false">C6*I6</f>
        <v>7200</v>
      </c>
    </row>
    <row r="7" customFormat="false" ht="15" hidden="false" customHeight="true" outlineLevel="0" collapsed="false">
      <c r="B7" s="1" t="s">
        <v>100</v>
      </c>
      <c r="C7" s="23" t="n">
        <v>4</v>
      </c>
      <c r="D7" s="23" t="n">
        <v>256</v>
      </c>
      <c r="E7" s="24" t="n">
        <f aca="false">C7/33</f>
        <v>0.121212121212121</v>
      </c>
      <c r="F7" s="25" t="n">
        <v>812</v>
      </c>
      <c r="G7" s="26" t="n">
        <f aca="false">F7/D7</f>
        <v>3.171875</v>
      </c>
      <c r="H7" s="6" t="n">
        <f aca="false">C7*F7</f>
        <v>3248</v>
      </c>
      <c r="I7" s="25" t="n">
        <v>895</v>
      </c>
      <c r="J7" s="6" t="n">
        <f aca="false">C7*I7</f>
        <v>3580</v>
      </c>
    </row>
    <row r="8" customFormat="false" ht="15" hidden="false" customHeight="true" outlineLevel="0" collapsed="false">
      <c r="B8" s="1" t="s">
        <v>101</v>
      </c>
      <c r="C8" s="23" t="n">
        <v>2</v>
      </c>
      <c r="D8" s="23" t="n">
        <v>267</v>
      </c>
      <c r="E8" s="24" t="n">
        <f aca="false">C8/33</f>
        <v>0.0606060606060606</v>
      </c>
      <c r="F8" s="25" t="n">
        <v>805</v>
      </c>
      <c r="G8" s="26" t="n">
        <f aca="false">F8/D8</f>
        <v>3.01498127340824</v>
      </c>
      <c r="H8" s="6" t="n">
        <f aca="false">C8*F8</f>
        <v>1610</v>
      </c>
      <c r="I8" s="25" t="n">
        <v>825</v>
      </c>
      <c r="J8" s="6" t="n">
        <f aca="false">C8*I8</f>
        <v>1650</v>
      </c>
    </row>
    <row r="9" customFormat="false" ht="15" hidden="false" customHeight="true" outlineLevel="0" collapsed="false">
      <c r="B9" s="1" t="s">
        <v>102</v>
      </c>
      <c r="C9" s="23" t="n">
        <v>13</v>
      </c>
      <c r="D9" s="23" t="n">
        <v>464</v>
      </c>
      <c r="E9" s="24" t="n">
        <f aca="false">C9/33</f>
        <v>0.393939393939394</v>
      </c>
      <c r="F9" s="25" t="n">
        <v>1007</v>
      </c>
      <c r="G9" s="26" t="n">
        <f aca="false">F9/D9</f>
        <v>2.17025862068966</v>
      </c>
      <c r="H9" s="6" t="n">
        <f aca="false">C9*F9</f>
        <v>13091</v>
      </c>
      <c r="I9" s="25" t="n">
        <v>1050</v>
      </c>
      <c r="J9" s="6" t="n">
        <f aca="false">C9*I9</f>
        <v>13650</v>
      </c>
    </row>
    <row r="10" customFormat="false" ht="15" hidden="false" customHeight="true" outlineLevel="0" collapsed="false">
      <c r="B10" s="1" t="s">
        <v>103</v>
      </c>
      <c r="C10" s="23" t="n">
        <v>4</v>
      </c>
      <c r="D10" s="23" t="n">
        <v>506</v>
      </c>
      <c r="E10" s="24" t="n">
        <f aca="false">C10/33</f>
        <v>0.121212121212121</v>
      </c>
      <c r="F10" s="25" t="n">
        <v>999</v>
      </c>
      <c r="G10" s="26" t="n">
        <f aca="false">F10/D10</f>
        <v>1.97430830039526</v>
      </c>
      <c r="H10" s="6" t="n">
        <f aca="false">C10*F10</f>
        <v>3996</v>
      </c>
      <c r="I10" s="25" t="n">
        <v>1000</v>
      </c>
      <c r="J10" s="6" t="n">
        <f aca="false">C10*I10</f>
        <v>4000</v>
      </c>
    </row>
    <row r="11" customFormat="false" ht="15" hidden="false" customHeight="true" outlineLevel="0" collapsed="false">
      <c r="B11" s="1" t="s">
        <v>104</v>
      </c>
      <c r="C11" s="23" t="n">
        <v>1</v>
      </c>
      <c r="D11" s="23" t="n">
        <v>952</v>
      </c>
      <c r="E11" s="24" t="n">
        <f aca="false">C11/33</f>
        <v>0.0303030303030303</v>
      </c>
      <c r="F11" s="25" t="n">
        <v>1375</v>
      </c>
      <c r="G11" s="26" t="n">
        <f aca="false">F11/D11</f>
        <v>1.44432773109244</v>
      </c>
      <c r="H11" s="6" t="n">
        <f aca="false">C11*F11</f>
        <v>1375</v>
      </c>
      <c r="I11" s="25" t="n">
        <v>1400</v>
      </c>
      <c r="J11" s="6" t="n">
        <f aca="false">C11*I11</f>
        <v>1400</v>
      </c>
    </row>
    <row r="12" customFormat="false" ht="15" hidden="false" customHeight="true" outlineLevel="0" collapsed="false">
      <c r="B12" s="27" t="s">
        <v>105</v>
      </c>
      <c r="C12" s="28" t="n">
        <f aca="false">SUM(C6:C11)</f>
        <v>33</v>
      </c>
      <c r="D12" s="28" t="n">
        <f aca="false">SUMPRODUCT(C6:C11,D6:D11)/C12</f>
        <v>381.818181818182</v>
      </c>
      <c r="E12" s="29" t="n">
        <f aca="false">SUM(E6:E11)</f>
        <v>1</v>
      </c>
      <c r="F12" s="30" t="n">
        <f aca="false">H12/C12</f>
        <v>904.393939393939</v>
      </c>
      <c r="G12" s="31" t="n">
        <f aca="false">F12/D12</f>
        <v>2.36865079365079</v>
      </c>
      <c r="H12" s="30" t="n">
        <f aca="false">SUM(H6:H11)</f>
        <v>29845</v>
      </c>
      <c r="I12" s="30" t="n">
        <f aca="false">J12/C12</f>
        <v>953.939393939394</v>
      </c>
      <c r="J12" s="30" t="n">
        <f aca="false">SUM(J6:J11)</f>
        <v>31480</v>
      </c>
    </row>
    <row r="14" customFormat="false" ht="15" hidden="false" customHeight="true" outlineLevel="0" collapsed="false">
      <c r="B14" s="4" t="s">
        <v>106</v>
      </c>
      <c r="F14" s="4" t="s">
        <v>107</v>
      </c>
      <c r="G14" s="6" t="n">
        <f aca="false">H12*12</f>
        <v>358140</v>
      </c>
      <c r="I14" s="4" t="s">
        <v>108</v>
      </c>
      <c r="J14" s="6" t="n">
        <f aca="false">J12*12</f>
        <v>377760</v>
      </c>
    </row>
    <row r="17" customFormat="false" ht="15" hidden="false" customHeight="true" outlineLevel="0" collapsed="false">
      <c r="B17" s="4" t="s">
        <v>109</v>
      </c>
    </row>
    <row r="18" customFormat="false" ht="15" hidden="false" customHeight="true" outlineLevel="0" collapsed="false">
      <c r="B18" s="1" t="s">
        <v>110</v>
      </c>
      <c r="C18" s="23" t="n">
        <v>31</v>
      </c>
    </row>
    <row r="19" customFormat="false" ht="15" hidden="false" customHeight="true" outlineLevel="0" collapsed="false">
      <c r="B19" s="1" t="s">
        <v>111</v>
      </c>
      <c r="C19" s="23" t="n">
        <v>2</v>
      </c>
    </row>
    <row r="20" customFormat="false" ht="15" hidden="false" customHeight="true" outlineLevel="0" collapsed="false">
      <c r="B20" s="1" t="s">
        <v>112</v>
      </c>
      <c r="C20" s="24" t="n">
        <f aca="false">C18/33</f>
        <v>0.939393939393939</v>
      </c>
    </row>
    <row r="21" customFormat="false" ht="15" hidden="false" customHeight="true" outlineLevel="0" collapsed="false">
      <c r="B21" s="3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40"/>
  </cols>
  <sheetData>
    <row r="2" customFormat="false" ht="17.25" hidden="false" customHeight="true" outlineLevel="0" collapsed="false">
      <c r="B2" s="14" t="s">
        <v>114</v>
      </c>
    </row>
    <row r="3" customFormat="false" ht="15" hidden="false" customHeight="true" outlineLevel="0" collapsed="false">
      <c r="B3" s="15" t="s">
        <v>115</v>
      </c>
    </row>
    <row r="5" customFormat="false" ht="15" hidden="false" customHeight="true" outlineLevel="0" collapsed="false">
      <c r="B5" s="33" t="s">
        <v>116</v>
      </c>
      <c r="C5" s="33" t="s">
        <v>117</v>
      </c>
      <c r="D5" s="33" t="s">
        <v>118</v>
      </c>
      <c r="E5" s="33" t="s">
        <v>119</v>
      </c>
    </row>
    <row r="6" customFormat="false" ht="15" hidden="false" customHeight="true" outlineLevel="0" collapsed="false">
      <c r="B6" s="34" t="s">
        <v>120</v>
      </c>
      <c r="C6" s="17"/>
      <c r="D6" s="17"/>
      <c r="E6" s="17"/>
    </row>
    <row r="7" customFormat="false" ht="15" hidden="false" customHeight="true" outlineLevel="0" collapsed="false">
      <c r="B7" s="1" t="s">
        <v>121</v>
      </c>
      <c r="C7" s="25" t="n">
        <v>355296</v>
      </c>
      <c r="D7" s="6" t="n">
        <f aca="false">C7/33</f>
        <v>10766.5454545455</v>
      </c>
    </row>
    <row r="8" customFormat="false" ht="15" hidden="false" customHeight="true" outlineLevel="0" collapsed="false">
      <c r="B8" s="1" t="s">
        <v>122</v>
      </c>
      <c r="C8" s="25" t="n">
        <v>-674</v>
      </c>
      <c r="D8" s="6" t="n">
        <f aca="false">C8/33</f>
        <v>-20.4242424242424</v>
      </c>
    </row>
    <row r="9" customFormat="false" ht="15" hidden="false" customHeight="true" outlineLevel="0" collapsed="false">
      <c r="B9" s="35" t="s">
        <v>123</v>
      </c>
      <c r="C9" s="36" t="n">
        <f aca="false">SUM(C7:C8)</f>
        <v>354622</v>
      </c>
      <c r="D9" s="36" t="n">
        <f aca="false">C9/33</f>
        <v>10746.1212121212</v>
      </c>
    </row>
    <row r="10" customFormat="false" ht="15" hidden="false" customHeight="true" outlineLevel="0" collapsed="false">
      <c r="B10" s="1" t="s">
        <v>62</v>
      </c>
      <c r="C10" s="25" t="n">
        <v>-17649</v>
      </c>
      <c r="D10" s="6" t="n">
        <f aca="false">C10/33</f>
        <v>-534.818181818182</v>
      </c>
    </row>
    <row r="11" customFormat="false" ht="15" hidden="false" customHeight="true" outlineLevel="0" collapsed="false">
      <c r="B11" s="1" t="s">
        <v>124</v>
      </c>
      <c r="C11" s="25" t="n">
        <v>-19894</v>
      </c>
      <c r="D11" s="6" t="n">
        <f aca="false">C11/33</f>
        <v>-602.848484848485</v>
      </c>
      <c r="E11" s="37" t="s">
        <v>125</v>
      </c>
    </row>
    <row r="12" customFormat="false" ht="15" hidden="false" customHeight="true" outlineLevel="0" collapsed="false">
      <c r="B12" s="1" t="s">
        <v>64</v>
      </c>
      <c r="C12" s="25" t="n">
        <v>-6587</v>
      </c>
      <c r="D12" s="6" t="n">
        <f aca="false">C12/33</f>
        <v>-199.606060606061</v>
      </c>
    </row>
    <row r="13" customFormat="false" ht="15" hidden="false" customHeight="true" outlineLevel="0" collapsed="false">
      <c r="B13" s="35" t="s">
        <v>126</v>
      </c>
      <c r="C13" s="36" t="n">
        <f aca="false">C9+SUM(C10:C12)</f>
        <v>310492</v>
      </c>
      <c r="D13" s="36" t="n">
        <f aca="false">C13/33</f>
        <v>9408.84848484848</v>
      </c>
    </row>
    <row r="14" customFormat="false" ht="15" hidden="false" customHeight="true" outlineLevel="0" collapsed="false">
      <c r="B14" s="1" t="s">
        <v>127</v>
      </c>
      <c r="C14" s="25" t="n">
        <v>74763</v>
      </c>
      <c r="D14" s="6" t="n">
        <f aca="false">C14/33</f>
        <v>2265.54545454545</v>
      </c>
    </row>
    <row r="15" customFormat="false" ht="15" hidden="false" customHeight="true" outlineLevel="0" collapsed="false">
      <c r="B15" s="1" t="s">
        <v>128</v>
      </c>
      <c r="C15" s="25" t="n">
        <v>27955</v>
      </c>
      <c r="D15" s="6" t="n">
        <f aca="false">C15/33</f>
        <v>847.121212121212</v>
      </c>
    </row>
    <row r="16" customFormat="false" ht="15" hidden="false" customHeight="true" outlineLevel="0" collapsed="false">
      <c r="B16" s="38" t="s">
        <v>129</v>
      </c>
      <c r="C16" s="39" t="n">
        <f aca="false">C13+C14+C15</f>
        <v>413210</v>
      </c>
      <c r="D16" s="39" t="n">
        <f aca="false">C16/33</f>
        <v>12521.5151515152</v>
      </c>
    </row>
    <row r="18" customFormat="false" ht="15" hidden="false" customHeight="true" outlineLevel="0" collapsed="false">
      <c r="B18" s="34" t="s">
        <v>130</v>
      </c>
      <c r="C18" s="17"/>
      <c r="D18" s="17"/>
      <c r="E18" s="17"/>
    </row>
    <row r="19" customFormat="false" ht="15" hidden="false" customHeight="true" outlineLevel="0" collapsed="false">
      <c r="B19" s="1" t="s">
        <v>131</v>
      </c>
      <c r="C19" s="25" t="n">
        <v>43900</v>
      </c>
      <c r="D19" s="6" t="n">
        <f aca="false">C19/33</f>
        <v>1330.30303030303</v>
      </c>
      <c r="E19" s="37" t="s">
        <v>132</v>
      </c>
    </row>
    <row r="20" customFormat="false" ht="15" hidden="false" customHeight="true" outlineLevel="0" collapsed="false">
      <c r="B20" s="1" t="s">
        <v>133</v>
      </c>
      <c r="C20" s="25" t="n">
        <v>7947</v>
      </c>
      <c r="D20" s="6" t="n">
        <f aca="false">C20/33</f>
        <v>240.818181818182</v>
      </c>
      <c r="E20" s="37" t="s">
        <v>134</v>
      </c>
    </row>
    <row r="21" customFormat="false" ht="15" hidden="false" customHeight="true" outlineLevel="0" collapsed="false">
      <c r="B21" s="1" t="s">
        <v>135</v>
      </c>
      <c r="C21" s="25" t="n">
        <v>11951</v>
      </c>
      <c r="D21" s="6" t="n">
        <f aca="false">C21/33</f>
        <v>362.151515151515</v>
      </c>
    </row>
    <row r="22" customFormat="false" ht="15" hidden="false" customHeight="true" outlineLevel="0" collapsed="false">
      <c r="B22" s="1" t="s">
        <v>136</v>
      </c>
      <c r="C22" s="25" t="n">
        <v>5703</v>
      </c>
      <c r="D22" s="6" t="n">
        <f aca="false">C22/33</f>
        <v>172.818181818182</v>
      </c>
    </row>
    <row r="23" customFormat="false" ht="15" hidden="false" customHeight="true" outlineLevel="0" collapsed="false">
      <c r="B23" s="1" t="s">
        <v>137</v>
      </c>
      <c r="C23" s="25" t="n">
        <v>0</v>
      </c>
      <c r="D23" s="6" t="n">
        <f aca="false">C23/33</f>
        <v>0</v>
      </c>
      <c r="E23" s="1" t="s">
        <v>138</v>
      </c>
    </row>
    <row r="24" customFormat="false" ht="15" hidden="false" customHeight="true" outlineLevel="0" collapsed="false">
      <c r="B24" s="1" t="s">
        <v>139</v>
      </c>
      <c r="C24" s="25" t="n">
        <v>10064</v>
      </c>
      <c r="D24" s="6" t="n">
        <f aca="false">C24/33</f>
        <v>304.969696969697</v>
      </c>
      <c r="E24" s="37" t="s">
        <v>140</v>
      </c>
    </row>
    <row r="25" customFormat="false" ht="15" hidden="false" customHeight="true" outlineLevel="0" collapsed="false">
      <c r="B25" s="1" t="s">
        <v>141</v>
      </c>
      <c r="C25" s="25" t="n">
        <v>4771</v>
      </c>
      <c r="D25" s="6" t="n">
        <f aca="false">C25/33</f>
        <v>144.575757575758</v>
      </c>
    </row>
    <row r="26" customFormat="false" ht="15" hidden="false" customHeight="true" outlineLevel="0" collapsed="false">
      <c r="B26" s="1" t="s">
        <v>142</v>
      </c>
      <c r="C26" s="25" t="n">
        <v>8449</v>
      </c>
      <c r="D26" s="6" t="n">
        <f aca="false">C26/33</f>
        <v>256.030303030303</v>
      </c>
    </row>
    <row r="27" customFormat="false" ht="15" hidden="false" customHeight="true" outlineLevel="0" collapsed="false">
      <c r="B27" s="1" t="s">
        <v>143</v>
      </c>
      <c r="C27" s="25" t="n">
        <v>25941</v>
      </c>
      <c r="D27" s="6" t="n">
        <f aca="false">C27/33</f>
        <v>786.090909090909</v>
      </c>
    </row>
    <row r="28" customFormat="false" ht="15" hidden="false" customHeight="true" outlineLevel="0" collapsed="false">
      <c r="B28" s="1" t="s">
        <v>144</v>
      </c>
      <c r="C28" s="25" t="n">
        <v>3400</v>
      </c>
      <c r="D28" s="6" t="n">
        <f aca="false">C28/33</f>
        <v>103.030303030303</v>
      </c>
    </row>
    <row r="29" customFormat="false" ht="15" hidden="false" customHeight="true" outlineLevel="0" collapsed="false">
      <c r="B29" s="1" t="s">
        <v>145</v>
      </c>
      <c r="C29" s="25" t="n">
        <v>9121</v>
      </c>
      <c r="D29" s="6" t="n">
        <f aca="false">C29/33</f>
        <v>276.393939393939</v>
      </c>
    </row>
    <row r="30" customFormat="false" ht="15" hidden="false" customHeight="true" outlineLevel="0" collapsed="false">
      <c r="B30" s="1" t="s">
        <v>146</v>
      </c>
      <c r="C30" s="25" t="n">
        <v>6017</v>
      </c>
      <c r="D30" s="6" t="n">
        <f aca="false">C30/33</f>
        <v>182.333333333333</v>
      </c>
    </row>
    <row r="31" customFormat="false" ht="15" hidden="false" customHeight="true" outlineLevel="0" collapsed="false">
      <c r="B31" s="1" t="s">
        <v>147</v>
      </c>
      <c r="C31" s="25" t="n">
        <v>25962</v>
      </c>
      <c r="D31" s="6" t="n">
        <f aca="false">C31/33</f>
        <v>786.727272727273</v>
      </c>
    </row>
    <row r="32" customFormat="false" ht="15" hidden="false" customHeight="true" outlineLevel="0" collapsed="false">
      <c r="B32" s="1" t="s">
        <v>148</v>
      </c>
      <c r="C32" s="25" t="n">
        <v>27132</v>
      </c>
      <c r="D32" s="6" t="n">
        <f aca="false">C32/33</f>
        <v>822.181818181818</v>
      </c>
    </row>
    <row r="33" customFormat="false" ht="15" hidden="false" customHeight="true" outlineLevel="0" collapsed="false">
      <c r="B33" s="1" t="s">
        <v>149</v>
      </c>
      <c r="C33" s="25" t="n">
        <v>10278</v>
      </c>
      <c r="D33" s="6" t="n">
        <f aca="false">C33/33</f>
        <v>311.454545454545</v>
      </c>
    </row>
    <row r="34" customFormat="false" ht="15" hidden="false" customHeight="true" outlineLevel="0" collapsed="false">
      <c r="B34" s="38" t="s">
        <v>150</v>
      </c>
      <c r="C34" s="39" t="n">
        <f aca="false">SUM(C19:C33)</f>
        <v>200636</v>
      </c>
      <c r="D34" s="39" t="n">
        <f aca="false">C34/33</f>
        <v>6079.87878787879</v>
      </c>
    </row>
    <row r="36" customFormat="false" ht="15" hidden="false" customHeight="true" outlineLevel="0" collapsed="false">
      <c r="B36" s="40" t="s">
        <v>151</v>
      </c>
      <c r="C36" s="41" t="n">
        <f aca="false">C16-C34</f>
        <v>212574</v>
      </c>
      <c r="D36" s="41" t="n">
        <f aca="false">C36/33</f>
        <v>6441.63636363636</v>
      </c>
    </row>
    <row r="37" customFormat="false" ht="15" hidden="false" customHeight="true" outlineLevel="0" collapsed="false">
      <c r="B37" s="4" t="s">
        <v>152</v>
      </c>
      <c r="C37" s="24" t="n">
        <f aca="false">C34/C16</f>
        <v>0.485554560635028</v>
      </c>
    </row>
    <row r="38" customFormat="false" ht="15" hidden="false" customHeight="true" outlineLevel="0" collapsed="false">
      <c r="B38" s="42" t="s">
        <v>153</v>
      </c>
      <c r="C38" s="43" t="n">
        <f aca="false">C36/Assumptions!C6</f>
        <v>0.0681326923076923</v>
      </c>
      <c r="E38" s="3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40"/>
  </cols>
  <sheetData>
    <row r="2" customFormat="false" ht="17.25" hidden="false" customHeight="true" outlineLevel="0" collapsed="false">
      <c r="B2" s="14" t="s">
        <v>155</v>
      </c>
    </row>
    <row r="3" customFormat="false" ht="15" hidden="false" customHeight="true" outlineLevel="0" collapsed="false">
      <c r="B3" s="15" t="s">
        <v>156</v>
      </c>
    </row>
    <row r="5" customFormat="false" ht="15" hidden="false" customHeight="true" outlineLevel="0" collapsed="false">
      <c r="B5" s="33" t="s">
        <v>116</v>
      </c>
      <c r="C5" s="33" t="s">
        <v>157</v>
      </c>
      <c r="D5" s="33" t="s">
        <v>118</v>
      </c>
      <c r="E5" s="33" t="s">
        <v>158</v>
      </c>
    </row>
    <row r="6" customFormat="false" ht="15" hidden="false" customHeight="true" outlineLevel="0" collapsed="false">
      <c r="B6" s="34" t="s">
        <v>120</v>
      </c>
      <c r="C6" s="17"/>
      <c r="D6" s="17"/>
      <c r="E6" s="17"/>
    </row>
    <row r="7" customFormat="false" ht="15" hidden="false" customHeight="true" outlineLevel="0" collapsed="false">
      <c r="B7" s="1" t="s">
        <v>159</v>
      </c>
      <c r="C7" s="44" t="n">
        <f aca="false">Assumptions!C21</f>
        <v>377760</v>
      </c>
      <c r="D7" s="6" t="n">
        <f aca="false">C7/33</f>
        <v>11447.2727272727</v>
      </c>
      <c r="E7" s="37" t="s">
        <v>160</v>
      </c>
    </row>
    <row r="8" customFormat="false" ht="15" hidden="false" customHeight="true" outlineLevel="0" collapsed="false">
      <c r="B8" s="1" t="s">
        <v>161</v>
      </c>
      <c r="C8" s="6" t="n">
        <f aca="false">-C7*Assumptions!C25</f>
        <v>-7555.2</v>
      </c>
      <c r="D8" s="6" t="n">
        <f aca="false">C8/33</f>
        <v>-228.945454545455</v>
      </c>
    </row>
    <row r="9" customFormat="false" ht="15" hidden="false" customHeight="true" outlineLevel="0" collapsed="false">
      <c r="B9" s="1" t="s">
        <v>162</v>
      </c>
      <c r="C9" s="6" t="n">
        <f aca="false">-C7*Assumptions!C22</f>
        <v>-18888</v>
      </c>
      <c r="D9" s="6" t="n">
        <f aca="false">C9/33</f>
        <v>-572.363636363636</v>
      </c>
    </row>
    <row r="10" customFormat="false" ht="15" hidden="false" customHeight="true" outlineLevel="0" collapsed="false">
      <c r="B10" s="1" t="s">
        <v>163</v>
      </c>
      <c r="C10" s="6" t="n">
        <f aca="false">-C7*Assumptions!C23</f>
        <v>-13221.6</v>
      </c>
      <c r="D10" s="6" t="n">
        <f aca="false">C10/33</f>
        <v>-400.654545454546</v>
      </c>
    </row>
    <row r="11" customFormat="false" ht="15" hidden="false" customHeight="true" outlineLevel="0" collapsed="false">
      <c r="B11" s="1" t="s">
        <v>164</v>
      </c>
      <c r="C11" s="6" t="n">
        <f aca="false">-C7*Assumptions!C24</f>
        <v>-5666.4</v>
      </c>
      <c r="D11" s="6" t="n">
        <f aca="false">C11/33</f>
        <v>-171.709090909091</v>
      </c>
    </row>
    <row r="12" customFormat="false" ht="15" hidden="false" customHeight="true" outlineLevel="0" collapsed="false">
      <c r="B12" s="35" t="s">
        <v>165</v>
      </c>
      <c r="C12" s="36" t="n">
        <f aca="false">SUM(C7:C11)</f>
        <v>332428.8</v>
      </c>
      <c r="D12" s="36" t="n">
        <f aca="false">C12/33</f>
        <v>10073.6</v>
      </c>
    </row>
    <row r="13" customFormat="false" ht="15" hidden="false" customHeight="true" outlineLevel="0" collapsed="false">
      <c r="B13" s="1" t="s">
        <v>166</v>
      </c>
      <c r="C13" s="44" t="n">
        <f aca="false">Assumptions!C26</f>
        <v>74763</v>
      </c>
      <c r="D13" s="6" t="n">
        <f aca="false">C13/33</f>
        <v>2265.54545454545</v>
      </c>
    </row>
    <row r="14" customFormat="false" ht="15" hidden="false" customHeight="true" outlineLevel="0" collapsed="false">
      <c r="B14" s="1" t="s">
        <v>167</v>
      </c>
      <c r="C14" s="44" t="n">
        <f aca="false">Assumptions!C27</f>
        <v>27955</v>
      </c>
      <c r="D14" s="6" t="n">
        <f aca="false">C14/33</f>
        <v>847.121212121212</v>
      </c>
    </row>
    <row r="15" customFormat="false" ht="15" hidden="false" customHeight="true" outlineLevel="0" collapsed="false">
      <c r="B15" s="27" t="s">
        <v>168</v>
      </c>
      <c r="C15" s="30" t="n">
        <f aca="false">C12+C13+C14</f>
        <v>435146.8</v>
      </c>
      <c r="D15" s="30" t="n">
        <f aca="false">C15/33</f>
        <v>13186.2666666667</v>
      </c>
    </row>
    <row r="17" customFormat="false" ht="15" hidden="false" customHeight="true" outlineLevel="0" collapsed="false">
      <c r="B17" s="34" t="s">
        <v>169</v>
      </c>
      <c r="C17" s="17"/>
      <c r="D17" s="17"/>
      <c r="E17" s="17"/>
    </row>
    <row r="18" customFormat="false" ht="15" hidden="false" customHeight="true" outlineLevel="0" collapsed="false">
      <c r="B18" s="1" t="s">
        <v>148</v>
      </c>
      <c r="C18" s="44" t="n">
        <f aca="false">Assumptions!C32</f>
        <v>29200</v>
      </c>
      <c r="D18" s="6" t="n">
        <f aca="false">C18/33</f>
        <v>884.848484848485</v>
      </c>
    </row>
    <row r="19" customFormat="false" ht="15" hidden="false" customHeight="true" outlineLevel="0" collapsed="false">
      <c r="B19" s="1" t="s">
        <v>149</v>
      </c>
      <c r="C19" s="44" t="n">
        <f aca="false">Assumptions!C33</f>
        <v>11550</v>
      </c>
      <c r="D19" s="6" t="n">
        <f aca="false">C19/33</f>
        <v>350</v>
      </c>
    </row>
    <row r="20" customFormat="false" ht="15" hidden="false" customHeight="true" outlineLevel="0" collapsed="false">
      <c r="B20" s="1" t="s">
        <v>170</v>
      </c>
      <c r="C20" s="44" t="n">
        <f aca="false">Assumptions!C34</f>
        <v>44479</v>
      </c>
      <c r="D20" s="6" t="n">
        <f aca="false">C20/33</f>
        <v>1347.84848484848</v>
      </c>
    </row>
    <row r="21" customFormat="false" ht="15" hidden="false" customHeight="true" outlineLevel="0" collapsed="false">
      <c r="B21" s="1" t="s">
        <v>133</v>
      </c>
      <c r="C21" s="44" t="n">
        <f aca="false">Assumptions!C35</f>
        <v>16500</v>
      </c>
      <c r="D21" s="6" t="n">
        <f aca="false">C21/33</f>
        <v>500</v>
      </c>
    </row>
    <row r="22" customFormat="false" ht="15" hidden="false" customHeight="true" outlineLevel="0" collapsed="false">
      <c r="B22" s="1" t="s">
        <v>135</v>
      </c>
      <c r="C22" s="44" t="n">
        <f aca="false">Assumptions!C36</f>
        <v>8250</v>
      </c>
      <c r="D22" s="6" t="n">
        <f aca="false">C22/33</f>
        <v>250</v>
      </c>
    </row>
    <row r="23" customFormat="false" ht="15" hidden="false" customHeight="true" outlineLevel="0" collapsed="false">
      <c r="B23" s="1" t="s">
        <v>131</v>
      </c>
      <c r="C23" s="44" t="n">
        <f aca="false">Assumptions!C37</f>
        <v>0</v>
      </c>
      <c r="D23" s="6" t="n">
        <f aca="false">C23/33</f>
        <v>0</v>
      </c>
    </row>
    <row r="24" customFormat="false" ht="15" hidden="false" customHeight="true" outlineLevel="0" collapsed="false">
      <c r="B24" s="1" t="s">
        <v>171</v>
      </c>
      <c r="C24" s="44" t="n">
        <f aca="false">Assumptions!C38</f>
        <v>5703</v>
      </c>
      <c r="D24" s="6" t="n">
        <f aca="false">C24/33</f>
        <v>172.818181818182</v>
      </c>
    </row>
    <row r="25" customFormat="false" ht="15" hidden="false" customHeight="true" outlineLevel="0" collapsed="false">
      <c r="B25" s="1" t="s">
        <v>139</v>
      </c>
      <c r="C25" s="44" t="n">
        <f aca="false">Assumptions!C39</f>
        <v>10064</v>
      </c>
      <c r="D25" s="6" t="n">
        <f aca="false">C25/33</f>
        <v>304.969696969697</v>
      </c>
    </row>
    <row r="26" customFormat="false" ht="15" hidden="false" customHeight="true" outlineLevel="0" collapsed="false">
      <c r="B26" s="1" t="s">
        <v>141</v>
      </c>
      <c r="C26" s="44" t="n">
        <f aca="false">Assumptions!C40</f>
        <v>4771</v>
      </c>
      <c r="D26" s="6" t="n">
        <f aca="false">C26/33</f>
        <v>144.575757575758</v>
      </c>
    </row>
    <row r="27" customFormat="false" ht="15" hidden="false" customHeight="true" outlineLevel="0" collapsed="false">
      <c r="B27" s="1" t="s">
        <v>142</v>
      </c>
      <c r="C27" s="44" t="n">
        <f aca="false">Assumptions!C41</f>
        <v>8449</v>
      </c>
      <c r="D27" s="6" t="n">
        <f aca="false">C27/33</f>
        <v>256.030303030303</v>
      </c>
    </row>
    <row r="28" customFormat="false" ht="15" hidden="false" customHeight="true" outlineLevel="0" collapsed="false">
      <c r="B28" s="1" t="s">
        <v>172</v>
      </c>
      <c r="C28" s="6" t="n">
        <f aca="false">C15*Assumptions!C42</f>
        <v>34811.744</v>
      </c>
      <c r="D28" s="6" t="n">
        <f aca="false">C28/33</f>
        <v>1054.90133333333</v>
      </c>
    </row>
    <row r="29" customFormat="false" ht="15" hidden="false" customHeight="true" outlineLevel="0" collapsed="false">
      <c r="B29" s="27" t="s">
        <v>150</v>
      </c>
      <c r="C29" s="30" t="n">
        <f aca="false">SUM(C18:C28)</f>
        <v>173777.744</v>
      </c>
      <c r="D29" s="30" t="n">
        <f aca="false">C29/33</f>
        <v>5265.99224242424</v>
      </c>
    </row>
    <row r="30" customFormat="false" ht="15" hidden="false" customHeight="true" outlineLevel="0" collapsed="false">
      <c r="B30" s="1" t="s">
        <v>173</v>
      </c>
      <c r="C30" s="24" t="n">
        <f aca="false">C29/C15</f>
        <v>0.399354296067442</v>
      </c>
    </row>
    <row r="32" customFormat="false" ht="15" hidden="false" customHeight="true" outlineLevel="0" collapsed="false">
      <c r="B32" s="45" t="s">
        <v>174</v>
      </c>
      <c r="C32" s="46" t="n">
        <f aca="false">C15-C29</f>
        <v>261369.056</v>
      </c>
      <c r="D32" s="46" t="n">
        <f aca="false">C32/33</f>
        <v>7920.27442424242</v>
      </c>
    </row>
    <row r="33" customFormat="false" ht="15" hidden="false" customHeight="true" outlineLevel="0" collapsed="false">
      <c r="B33" s="1" t="s">
        <v>175</v>
      </c>
      <c r="C33" s="6" t="n">
        <f aca="false">-Assumptions!C44*33</f>
        <v>-9900</v>
      </c>
      <c r="D33" s="6" t="n">
        <f aca="false">C33/33</f>
        <v>-300</v>
      </c>
    </row>
    <row r="34" customFormat="false" ht="15" hidden="false" customHeight="true" outlineLevel="0" collapsed="false">
      <c r="B34" s="40" t="s">
        <v>176</v>
      </c>
      <c r="C34" s="41" t="n">
        <f aca="false">C32+C33</f>
        <v>251469.056</v>
      </c>
      <c r="D34" s="41" t="n">
        <f aca="false">C34/33</f>
        <v>7620.27442424242</v>
      </c>
    </row>
    <row r="36" customFormat="false" ht="15" hidden="false" customHeight="true" outlineLevel="0" collapsed="false">
      <c r="B36" s="34" t="s">
        <v>177</v>
      </c>
      <c r="C36" s="17"/>
      <c r="D36" s="17"/>
      <c r="E36" s="17"/>
    </row>
    <row r="37" customFormat="false" ht="15" hidden="false" customHeight="true" outlineLevel="0" collapsed="false">
      <c r="B37" s="1" t="s">
        <v>178</v>
      </c>
      <c r="C37" s="47" t="n">
        <f aca="false">C32/Assumptions!C6</f>
        <v>0.0837721333333333</v>
      </c>
    </row>
    <row r="38" customFormat="false" ht="15" hidden="false" customHeight="true" outlineLevel="0" collapsed="false">
      <c r="B38" s="1" t="s">
        <v>179</v>
      </c>
      <c r="C38" s="47" t="n">
        <f aca="false">C34/Assumptions!C6</f>
        <v>0.0805990564102564</v>
      </c>
      <c r="E38" s="37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7" min="3" style="1" width="15"/>
  </cols>
  <sheetData>
    <row r="2" customFormat="false" ht="17.25" hidden="false" customHeight="true" outlineLevel="0" collapsed="false">
      <c r="B2" s="14" t="s">
        <v>181</v>
      </c>
    </row>
    <row r="3" customFormat="false" ht="15" hidden="false" customHeight="true" outlineLevel="0" collapsed="false">
      <c r="B3" s="15" t="s">
        <v>182</v>
      </c>
    </row>
    <row r="5" customFormat="false" ht="15" hidden="false" customHeight="true" outlineLevel="0" collapsed="false">
      <c r="B5" s="4" t="s">
        <v>183</v>
      </c>
      <c r="C5" s="44" t="n">
        <f aca="false">Assumptions!C14</f>
        <v>2184000</v>
      </c>
    </row>
    <row r="6" customFormat="false" ht="15" hidden="false" customHeight="true" outlineLevel="0" collapsed="false">
      <c r="B6" s="4" t="s">
        <v>184</v>
      </c>
      <c r="C6" s="48" t="n">
        <f aca="false">Assumptions!C15</f>
        <v>0.0675</v>
      </c>
    </row>
    <row r="7" customFormat="false" ht="15" hidden="false" customHeight="true" outlineLevel="0" collapsed="false">
      <c r="B7" s="4" t="s">
        <v>185</v>
      </c>
      <c r="C7" s="49" t="n">
        <f aca="false">Assumptions!C16</f>
        <v>25</v>
      </c>
    </row>
    <row r="8" customFormat="false" ht="15" hidden="false" customHeight="true" outlineLevel="0" collapsed="false">
      <c r="B8" s="4" t="s">
        <v>186</v>
      </c>
      <c r="C8" s="6" t="n">
        <f aca="false">-PMT(C6,C7,C5)</f>
        <v>183209.015168278</v>
      </c>
      <c r="E8" s="37" t="s">
        <v>187</v>
      </c>
    </row>
    <row r="11" customFormat="false" ht="15" hidden="false" customHeight="true" outlineLevel="0" collapsed="false">
      <c r="B11" s="4" t="s">
        <v>188</v>
      </c>
    </row>
    <row r="12" customFormat="false" ht="15" hidden="false" customHeight="true" outlineLevel="0" collapsed="false">
      <c r="B12" s="33" t="s">
        <v>189</v>
      </c>
      <c r="C12" s="33" t="s">
        <v>190</v>
      </c>
      <c r="D12" s="33" t="s">
        <v>191</v>
      </c>
      <c r="E12" s="33" t="s">
        <v>192</v>
      </c>
      <c r="F12" s="33" t="s">
        <v>193</v>
      </c>
      <c r="G12" s="33" t="s">
        <v>194</v>
      </c>
    </row>
    <row r="13" customFormat="false" ht="15" hidden="false" customHeight="true" outlineLevel="0" collapsed="false">
      <c r="B13" s="23" t="n">
        <v>1</v>
      </c>
      <c r="C13" s="6" t="n">
        <f aca="false">$C$5</f>
        <v>2184000</v>
      </c>
      <c r="D13" s="6" t="n">
        <f aca="false">C13*$C$6</f>
        <v>147420</v>
      </c>
      <c r="E13" s="6" t="n">
        <f aca="false">$C$8-D13</f>
        <v>35789.0151682778</v>
      </c>
      <c r="F13" s="6" t="n">
        <f aca="false">$C$8</f>
        <v>183209.015168278</v>
      </c>
      <c r="G13" s="6" t="n">
        <f aca="false">C13-E13</f>
        <v>2148210.98483172</v>
      </c>
    </row>
    <row r="14" customFormat="false" ht="15" hidden="false" customHeight="true" outlineLevel="0" collapsed="false">
      <c r="B14" s="23" t="n">
        <v>2</v>
      </c>
      <c r="C14" s="6" t="n">
        <f aca="false">G13</f>
        <v>2148210.98483172</v>
      </c>
      <c r="D14" s="6" t="n">
        <f aca="false">C14*$C$6</f>
        <v>145004.241476141</v>
      </c>
      <c r="E14" s="6" t="n">
        <f aca="false">$C$8-D14</f>
        <v>38204.7736921365</v>
      </c>
      <c r="F14" s="6" t="n">
        <f aca="false">$C$8</f>
        <v>183209.015168278</v>
      </c>
      <c r="G14" s="6" t="n">
        <f aca="false">C14-E14</f>
        <v>2110006.21113959</v>
      </c>
    </row>
    <row r="15" customFormat="false" ht="15" hidden="false" customHeight="true" outlineLevel="0" collapsed="false">
      <c r="B15" s="23" t="n">
        <v>3</v>
      </c>
      <c r="C15" s="6" t="n">
        <f aca="false">G14</f>
        <v>2110006.21113959</v>
      </c>
      <c r="D15" s="6" t="n">
        <f aca="false">C15*$C$6</f>
        <v>142425.419251922</v>
      </c>
      <c r="E15" s="6" t="n">
        <f aca="false">$C$8-D15</f>
        <v>40783.5959163557</v>
      </c>
      <c r="F15" s="6" t="n">
        <f aca="false">$C$8</f>
        <v>183209.015168278</v>
      </c>
      <c r="G15" s="6" t="n">
        <f aca="false">C15-E15</f>
        <v>2069222.61522323</v>
      </c>
    </row>
    <row r="16" customFormat="false" ht="15" hidden="false" customHeight="true" outlineLevel="0" collapsed="false">
      <c r="B16" s="23" t="n">
        <v>4</v>
      </c>
      <c r="C16" s="6" t="n">
        <f aca="false">G15</f>
        <v>2069222.61522323</v>
      </c>
      <c r="D16" s="6" t="n">
        <f aca="false">C16*$C$6</f>
        <v>139672.526527568</v>
      </c>
      <c r="E16" s="6" t="n">
        <f aca="false">$C$8-D16</f>
        <v>43536.4886407097</v>
      </c>
      <c r="F16" s="6" t="n">
        <f aca="false">$C$8</f>
        <v>183209.015168278</v>
      </c>
      <c r="G16" s="6" t="n">
        <f aca="false">C16-E16</f>
        <v>2025686.12658252</v>
      </c>
    </row>
    <row r="17" customFormat="false" ht="15" hidden="false" customHeight="true" outlineLevel="0" collapsed="false">
      <c r="B17" s="23" t="n">
        <v>5</v>
      </c>
      <c r="C17" s="6" t="n">
        <f aca="false">G16</f>
        <v>2025686.12658252</v>
      </c>
      <c r="D17" s="6" t="n">
        <f aca="false">C17*$C$6</f>
        <v>136733.81354432</v>
      </c>
      <c r="E17" s="6" t="n">
        <f aca="false">$C$8-D17</f>
        <v>46475.2016239576</v>
      </c>
      <c r="F17" s="6" t="n">
        <f aca="false">$C$8</f>
        <v>183209.015168278</v>
      </c>
      <c r="G17" s="6" t="n">
        <f aca="false">C17-E17</f>
        <v>1979210.92495856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7" min="3" style="1" width="14"/>
  </cols>
  <sheetData>
    <row r="2" customFormat="false" ht="17.25" hidden="false" customHeight="true" outlineLevel="0" collapsed="false">
      <c r="B2" s="14" t="s">
        <v>195</v>
      </c>
    </row>
    <row r="3" customFormat="false" ht="15" hidden="false" customHeight="true" outlineLevel="0" collapsed="false">
      <c r="B3" s="15" t="s">
        <v>196</v>
      </c>
    </row>
    <row r="5" customFormat="false" ht="15" hidden="false" customHeight="true" outlineLevel="0" collapsed="false">
      <c r="B5" s="45" t="s">
        <v>116</v>
      </c>
      <c r="C5" s="33" t="s">
        <v>157</v>
      </c>
      <c r="D5" s="33" t="s">
        <v>197</v>
      </c>
      <c r="E5" s="33" t="s">
        <v>198</v>
      </c>
      <c r="F5" s="33" t="s">
        <v>199</v>
      </c>
      <c r="G5" s="33" t="s">
        <v>200</v>
      </c>
    </row>
    <row r="7" customFormat="false" ht="15" hidden="false" customHeight="true" outlineLevel="0" collapsed="false">
      <c r="B7" s="34" t="s">
        <v>120</v>
      </c>
      <c r="C7" s="17"/>
      <c r="D7" s="17"/>
      <c r="E7" s="17"/>
      <c r="F7" s="17"/>
      <c r="G7" s="17"/>
    </row>
    <row r="8" customFormat="false" ht="15" hidden="false" customHeight="true" outlineLevel="0" collapsed="false">
      <c r="B8" s="1" t="s">
        <v>159</v>
      </c>
      <c r="C8" s="44" t="n">
        <f aca="false">Assumptions!C21</f>
        <v>377760</v>
      </c>
      <c r="D8" s="6" t="n">
        <f aca="false">C8*(1+Assumptions!C28)</f>
        <v>387204</v>
      </c>
      <c r="E8" s="6" t="n">
        <f aca="false">D8*(1+Assumptions!C28)</f>
        <v>396884.1</v>
      </c>
      <c r="F8" s="6" t="n">
        <f aca="false">E8*(1+Assumptions!C28)</f>
        <v>406806.2025</v>
      </c>
      <c r="G8" s="6" t="n">
        <f aca="false">F8*(1+Assumptions!C28)</f>
        <v>416976.3575625</v>
      </c>
    </row>
    <row r="9" customFormat="false" ht="15" hidden="false" customHeight="true" outlineLevel="0" collapsed="false">
      <c r="B9" s="1" t="s">
        <v>161</v>
      </c>
      <c r="C9" s="6" t="n">
        <f aca="false">-C8*Assumptions!C25</f>
        <v>-7555.2</v>
      </c>
      <c r="D9" s="6" t="n">
        <f aca="false">-D8*Assumptions!C25</f>
        <v>-7744.08</v>
      </c>
      <c r="E9" s="6" t="n">
        <f aca="false">-E8*Assumptions!C25</f>
        <v>-7937.682</v>
      </c>
      <c r="F9" s="6" t="n">
        <f aca="false">-F8*Assumptions!C25</f>
        <v>-8136.12405</v>
      </c>
      <c r="G9" s="6" t="n">
        <f aca="false">-G8*Assumptions!C25</f>
        <v>-8339.52715125</v>
      </c>
    </row>
    <row r="10" customFormat="false" ht="15" hidden="false" customHeight="true" outlineLevel="0" collapsed="false">
      <c r="B10" s="1" t="s">
        <v>162</v>
      </c>
      <c r="C10" s="6" t="n">
        <f aca="false">-C8*Assumptions!C22</f>
        <v>-18888</v>
      </c>
      <c r="D10" s="6" t="n">
        <f aca="false">-D8*Assumptions!C22</f>
        <v>-19360.2</v>
      </c>
      <c r="E10" s="6" t="n">
        <f aca="false">-E8*Assumptions!C22</f>
        <v>-19844.205</v>
      </c>
      <c r="F10" s="6" t="n">
        <f aca="false">-F8*Assumptions!C22</f>
        <v>-20340.310125</v>
      </c>
      <c r="G10" s="6" t="n">
        <f aca="false">-G8*Assumptions!C22</f>
        <v>-20848.817878125</v>
      </c>
    </row>
    <row r="11" customFormat="false" ht="15" hidden="false" customHeight="true" outlineLevel="0" collapsed="false">
      <c r="B11" s="1" t="s">
        <v>163</v>
      </c>
      <c r="C11" s="6" t="n">
        <f aca="false">-C8*Assumptions!C23</f>
        <v>-13221.6</v>
      </c>
      <c r="D11" s="6" t="n">
        <f aca="false">-D8*Assumptions!C23</f>
        <v>-13552.14</v>
      </c>
      <c r="E11" s="6" t="n">
        <f aca="false">-E8*Assumptions!C23</f>
        <v>-13890.9435</v>
      </c>
      <c r="F11" s="6" t="n">
        <f aca="false">-F8*Assumptions!C23</f>
        <v>-14238.2170875</v>
      </c>
      <c r="G11" s="6" t="n">
        <f aca="false">-G8*Assumptions!C23</f>
        <v>-14594.1725146875</v>
      </c>
    </row>
    <row r="12" customFormat="false" ht="15" hidden="false" customHeight="true" outlineLevel="0" collapsed="false">
      <c r="B12" s="1" t="s">
        <v>164</v>
      </c>
      <c r="C12" s="6" t="n">
        <f aca="false">-C8*Assumptions!C24</f>
        <v>-5666.4</v>
      </c>
      <c r="D12" s="6" t="n">
        <f aca="false">-D8*Assumptions!C24</f>
        <v>-5808.06</v>
      </c>
      <c r="E12" s="6" t="n">
        <f aca="false">-E8*Assumptions!C24</f>
        <v>-5953.2615</v>
      </c>
      <c r="F12" s="6" t="n">
        <f aca="false">-F8*Assumptions!C24</f>
        <v>-6102.0930375</v>
      </c>
      <c r="G12" s="6" t="n">
        <f aca="false">-G8*Assumptions!C24</f>
        <v>-6254.6453634375</v>
      </c>
    </row>
    <row r="13" customFormat="false" ht="15" hidden="false" customHeight="true" outlineLevel="0" collapsed="false">
      <c r="B13" s="35" t="s">
        <v>165</v>
      </c>
      <c r="C13" s="36" t="n">
        <f aca="false">SUM(C8:C12)</f>
        <v>332428.8</v>
      </c>
      <c r="D13" s="36" t="n">
        <f aca="false">SUM(D8:D12)</f>
        <v>340739.52</v>
      </c>
      <c r="E13" s="36" t="n">
        <f aca="false">SUM(E8:E12)</f>
        <v>349258.008</v>
      </c>
      <c r="F13" s="36" t="n">
        <f aca="false">SUM(F8:F12)</f>
        <v>357989.4582</v>
      </c>
      <c r="G13" s="36" t="n">
        <f aca="false">SUM(G8:G12)</f>
        <v>366939.194655</v>
      </c>
    </row>
    <row r="14" customFormat="false" ht="15" hidden="false" customHeight="true" outlineLevel="0" collapsed="false">
      <c r="B14" s="1" t="s">
        <v>201</v>
      </c>
      <c r="C14" s="44" t="n">
        <f aca="false">Assumptions!C26</f>
        <v>74763</v>
      </c>
      <c r="D14" s="6" t="n">
        <f aca="false">C14*(1+Assumptions!C29)</f>
        <v>76258.26</v>
      </c>
      <c r="E14" s="6" t="n">
        <f aca="false">D14*(1+Assumptions!C29)</f>
        <v>77783.4252</v>
      </c>
      <c r="F14" s="6" t="n">
        <f aca="false">E14*(1+Assumptions!C29)</f>
        <v>79339.093704</v>
      </c>
      <c r="G14" s="6" t="n">
        <f aca="false">F14*(1+Assumptions!C29)</f>
        <v>80925.87557808</v>
      </c>
    </row>
    <row r="15" customFormat="false" ht="15" hidden="false" customHeight="true" outlineLevel="0" collapsed="false">
      <c r="B15" s="1" t="s">
        <v>202</v>
      </c>
      <c r="C15" s="44" t="n">
        <f aca="false">Assumptions!C27</f>
        <v>27955</v>
      </c>
      <c r="D15" s="6" t="n">
        <f aca="false">C15*(1+Assumptions!C29)</f>
        <v>28514.1</v>
      </c>
      <c r="E15" s="6" t="n">
        <f aca="false">D15*(1+Assumptions!C29)</f>
        <v>29084.382</v>
      </c>
      <c r="F15" s="6" t="n">
        <f aca="false">E15*(1+Assumptions!C29)</f>
        <v>29666.06964</v>
      </c>
      <c r="G15" s="6" t="n">
        <f aca="false">F15*(1+Assumptions!C29)</f>
        <v>30259.3910328</v>
      </c>
    </row>
    <row r="16" customFormat="false" ht="15" hidden="false" customHeight="true" outlineLevel="0" collapsed="false">
      <c r="B16" s="27" t="s">
        <v>203</v>
      </c>
      <c r="C16" s="30" t="n">
        <f aca="false">C13+C14+C15</f>
        <v>435146.8</v>
      </c>
      <c r="D16" s="30" t="n">
        <f aca="false">D13+D14+D15</f>
        <v>445511.88</v>
      </c>
      <c r="E16" s="30" t="n">
        <f aca="false">E13+E14+E15</f>
        <v>456125.8152</v>
      </c>
      <c r="F16" s="30" t="n">
        <f aca="false">F13+F14+F15</f>
        <v>466994.621544</v>
      </c>
      <c r="G16" s="30" t="n">
        <f aca="false">G13+G14+G15</f>
        <v>478124.46126588</v>
      </c>
    </row>
    <row r="18" customFormat="false" ht="15" hidden="false" customHeight="true" outlineLevel="0" collapsed="false">
      <c r="B18" s="34" t="s">
        <v>169</v>
      </c>
      <c r="C18" s="17"/>
      <c r="D18" s="17"/>
      <c r="E18" s="17"/>
      <c r="F18" s="17"/>
      <c r="G18" s="17"/>
    </row>
    <row r="19" customFormat="false" ht="15" hidden="false" customHeight="true" outlineLevel="0" collapsed="false">
      <c r="B19" s="1" t="s">
        <v>148</v>
      </c>
      <c r="C19" s="44" t="n">
        <f aca="false">Assumptions!C32</f>
        <v>29200</v>
      </c>
      <c r="D19" s="6" t="n">
        <f aca="false">C19*(1+Assumptions!C43)</f>
        <v>30076</v>
      </c>
      <c r="E19" s="6" t="n">
        <f aca="false">D19*(1+Assumptions!C43)</f>
        <v>30978.28</v>
      </c>
      <c r="F19" s="6" t="n">
        <f aca="false">E19*(1+Assumptions!C43)</f>
        <v>31907.6284</v>
      </c>
      <c r="G19" s="6" t="n">
        <f aca="false">F19*(1+Assumptions!C43)</f>
        <v>32864.857252</v>
      </c>
    </row>
    <row r="20" customFormat="false" ht="15" hidden="false" customHeight="true" outlineLevel="0" collapsed="false">
      <c r="B20" s="1" t="s">
        <v>149</v>
      </c>
      <c r="C20" s="44" t="n">
        <f aca="false">Assumptions!C33</f>
        <v>11550</v>
      </c>
      <c r="D20" s="6" t="n">
        <f aca="false">C20*(1+Assumptions!C43)</f>
        <v>11896.5</v>
      </c>
      <c r="E20" s="6" t="n">
        <f aca="false">D20*(1+Assumptions!C43)</f>
        <v>12253.395</v>
      </c>
      <c r="F20" s="6" t="n">
        <f aca="false">E20*(1+Assumptions!C43)</f>
        <v>12620.99685</v>
      </c>
      <c r="G20" s="6" t="n">
        <f aca="false">F20*(1+Assumptions!C43)</f>
        <v>12999.6267555</v>
      </c>
    </row>
    <row r="21" customFormat="false" ht="15" hidden="false" customHeight="true" outlineLevel="0" collapsed="false">
      <c r="B21" s="1" t="s">
        <v>204</v>
      </c>
      <c r="C21" s="44" t="n">
        <f aca="false">Assumptions!C34</f>
        <v>44479</v>
      </c>
      <c r="D21" s="6" t="n">
        <f aca="false">C21*(1+Assumptions!C43)</f>
        <v>45813.37</v>
      </c>
      <c r="E21" s="6" t="n">
        <f aca="false">D21*(1+Assumptions!C43)</f>
        <v>47187.7711</v>
      </c>
      <c r="F21" s="6" t="n">
        <f aca="false">E21*(1+Assumptions!C43)</f>
        <v>48603.404233</v>
      </c>
      <c r="G21" s="6" t="n">
        <f aca="false">F21*(1+Assumptions!C43)</f>
        <v>50061.50635999</v>
      </c>
    </row>
    <row r="22" customFormat="false" ht="15" hidden="false" customHeight="true" outlineLevel="0" collapsed="false">
      <c r="B22" s="1" t="s">
        <v>133</v>
      </c>
      <c r="C22" s="44" t="n">
        <f aca="false">Assumptions!C35</f>
        <v>16500</v>
      </c>
      <c r="D22" s="6" t="n">
        <f aca="false">C22*(1+Assumptions!C43)</f>
        <v>16995</v>
      </c>
      <c r="E22" s="6" t="n">
        <f aca="false">D22*(1+Assumptions!C43)</f>
        <v>17504.85</v>
      </c>
      <c r="F22" s="6" t="n">
        <f aca="false">E22*(1+Assumptions!C43)</f>
        <v>18029.9955</v>
      </c>
      <c r="G22" s="6" t="n">
        <f aca="false">F22*(1+Assumptions!C43)</f>
        <v>18570.895365</v>
      </c>
    </row>
    <row r="23" customFormat="false" ht="15" hidden="false" customHeight="true" outlineLevel="0" collapsed="false">
      <c r="B23" s="1" t="s">
        <v>135</v>
      </c>
      <c r="C23" s="44" t="n">
        <f aca="false">Assumptions!C36</f>
        <v>8250</v>
      </c>
      <c r="D23" s="6" t="n">
        <f aca="false">C23*(1+Assumptions!C43)</f>
        <v>8497.5</v>
      </c>
      <c r="E23" s="6" t="n">
        <f aca="false">D23*(1+Assumptions!C43)</f>
        <v>8752.425</v>
      </c>
      <c r="F23" s="6" t="n">
        <f aca="false">E23*(1+Assumptions!C43)</f>
        <v>9014.99775</v>
      </c>
      <c r="G23" s="6" t="n">
        <f aca="false">F23*(1+Assumptions!C43)</f>
        <v>9285.4476825</v>
      </c>
    </row>
    <row r="24" customFormat="false" ht="15" hidden="false" customHeight="true" outlineLevel="0" collapsed="false">
      <c r="B24" s="1" t="s">
        <v>131</v>
      </c>
      <c r="C24" s="44" t="n">
        <f aca="false">Assumptions!C37</f>
        <v>0</v>
      </c>
      <c r="D24" s="6" t="n">
        <f aca="false">C24*(1+Assumptions!C43)</f>
        <v>0</v>
      </c>
      <c r="E24" s="6" t="n">
        <f aca="false">D24*(1+Assumptions!C43)</f>
        <v>0</v>
      </c>
      <c r="F24" s="6" t="n">
        <f aca="false">E24*(1+Assumptions!C43)</f>
        <v>0</v>
      </c>
      <c r="G24" s="6" t="n">
        <f aca="false">F24*(1+Assumptions!C43)</f>
        <v>0</v>
      </c>
    </row>
    <row r="25" customFormat="false" ht="15" hidden="false" customHeight="true" outlineLevel="0" collapsed="false">
      <c r="B25" s="1" t="s">
        <v>171</v>
      </c>
      <c r="C25" s="44" t="n">
        <f aca="false">Assumptions!C38</f>
        <v>5703</v>
      </c>
      <c r="D25" s="6" t="n">
        <f aca="false">C25*(1+Assumptions!C43)</f>
        <v>5874.09</v>
      </c>
      <c r="E25" s="6" t="n">
        <f aca="false">D25*(1+Assumptions!C43)</f>
        <v>6050.3127</v>
      </c>
      <c r="F25" s="6" t="n">
        <f aca="false">E25*(1+Assumptions!C43)</f>
        <v>6231.822081</v>
      </c>
      <c r="G25" s="6" t="n">
        <f aca="false">F25*(1+Assumptions!C43)</f>
        <v>6418.77674343</v>
      </c>
    </row>
    <row r="26" customFormat="false" ht="15" hidden="false" customHeight="true" outlineLevel="0" collapsed="false">
      <c r="B26" s="1" t="s">
        <v>139</v>
      </c>
      <c r="C26" s="44" t="n">
        <f aca="false">Assumptions!C39</f>
        <v>10064</v>
      </c>
      <c r="D26" s="6" t="n">
        <f aca="false">C26*(1+Assumptions!C43)</f>
        <v>10365.92</v>
      </c>
      <c r="E26" s="6" t="n">
        <f aca="false">D26*(1+Assumptions!C43)</f>
        <v>10676.8976</v>
      </c>
      <c r="F26" s="6" t="n">
        <f aca="false">E26*(1+Assumptions!C43)</f>
        <v>10997.204528</v>
      </c>
      <c r="G26" s="6" t="n">
        <f aca="false">F26*(1+Assumptions!C43)</f>
        <v>11327.12066384</v>
      </c>
    </row>
    <row r="27" customFormat="false" ht="15" hidden="false" customHeight="true" outlineLevel="0" collapsed="false">
      <c r="B27" s="1" t="s">
        <v>141</v>
      </c>
      <c r="C27" s="44" t="n">
        <f aca="false">Assumptions!C40</f>
        <v>4771</v>
      </c>
      <c r="D27" s="6" t="n">
        <f aca="false">C27*(1+Assumptions!C43)</f>
        <v>4914.13</v>
      </c>
      <c r="E27" s="6" t="n">
        <f aca="false">D27*(1+Assumptions!C43)</f>
        <v>5061.5539</v>
      </c>
      <c r="F27" s="6" t="n">
        <f aca="false">E27*(1+Assumptions!C43)</f>
        <v>5213.400517</v>
      </c>
      <c r="G27" s="6" t="n">
        <f aca="false">F27*(1+Assumptions!C43)</f>
        <v>5369.80253251</v>
      </c>
    </row>
    <row r="28" customFormat="false" ht="15" hidden="false" customHeight="true" outlineLevel="0" collapsed="false">
      <c r="B28" s="1" t="s">
        <v>205</v>
      </c>
      <c r="C28" s="44" t="n">
        <f aca="false">Assumptions!C41</f>
        <v>8449</v>
      </c>
      <c r="D28" s="6" t="n">
        <f aca="false">C28*(1+Assumptions!C43)</f>
        <v>8702.47</v>
      </c>
      <c r="E28" s="6" t="n">
        <f aca="false">D28*(1+Assumptions!C43)</f>
        <v>8963.5441</v>
      </c>
      <c r="F28" s="6" t="n">
        <f aca="false">E28*(1+Assumptions!C43)</f>
        <v>9232.450423</v>
      </c>
      <c r="G28" s="6" t="n">
        <f aca="false">F28*(1+Assumptions!C43)</f>
        <v>9509.42393569</v>
      </c>
    </row>
    <row r="29" customFormat="false" ht="15" hidden="false" customHeight="true" outlineLevel="0" collapsed="false">
      <c r="B29" s="1" t="s">
        <v>81</v>
      </c>
      <c r="C29" s="6" t="n">
        <f aca="false">C16*Assumptions!C42</f>
        <v>34811.744</v>
      </c>
      <c r="D29" s="6" t="n">
        <f aca="false">D16*Assumptions!C42</f>
        <v>35640.9504</v>
      </c>
      <c r="E29" s="6" t="n">
        <f aca="false">E16*Assumptions!C42</f>
        <v>36490.065216</v>
      </c>
      <c r="F29" s="6" t="n">
        <f aca="false">F16*Assumptions!C42</f>
        <v>37359.56972352</v>
      </c>
      <c r="G29" s="6" t="n">
        <f aca="false">G16*Assumptions!C42</f>
        <v>38249.9569012704</v>
      </c>
    </row>
    <row r="30" customFormat="false" ht="15" hidden="false" customHeight="true" outlineLevel="0" collapsed="false">
      <c r="B30" s="27" t="s">
        <v>150</v>
      </c>
      <c r="C30" s="30" t="n">
        <f aca="false">SUM(C19:C29)</f>
        <v>173777.744</v>
      </c>
      <c r="D30" s="30" t="n">
        <f aca="false">SUM(D19:D29)</f>
        <v>178775.9304</v>
      </c>
      <c r="E30" s="30" t="n">
        <f aca="false">SUM(E19:E29)</f>
        <v>183919.094616</v>
      </c>
      <c r="F30" s="30" t="n">
        <f aca="false">SUM(F19:F29)</f>
        <v>189211.47000552</v>
      </c>
      <c r="G30" s="30" t="n">
        <f aca="false">SUM(G19:G29)</f>
        <v>194657.41419173</v>
      </c>
    </row>
    <row r="32" customFormat="false" ht="15" hidden="false" customHeight="true" outlineLevel="0" collapsed="false">
      <c r="B32" s="45" t="s">
        <v>174</v>
      </c>
      <c r="C32" s="46" t="n">
        <f aca="false">C16-C30</f>
        <v>261369.056</v>
      </c>
      <c r="D32" s="46" t="n">
        <f aca="false">D16-D30</f>
        <v>266735.9496</v>
      </c>
      <c r="E32" s="46" t="n">
        <f aca="false">E16-E30</f>
        <v>272206.720584</v>
      </c>
      <c r="F32" s="46" t="n">
        <f aca="false">F16-F30</f>
        <v>277783.15153848</v>
      </c>
      <c r="G32" s="46" t="n">
        <f aca="false">G16-G30</f>
        <v>283467.04707415</v>
      </c>
    </row>
    <row r="33" customFormat="false" ht="15" hidden="false" customHeight="true" outlineLevel="0" collapsed="false">
      <c r="B33" s="1" t="s">
        <v>175</v>
      </c>
      <c r="C33" s="6" t="n">
        <f aca="false">-Assumptions!C44*33</f>
        <v>-9900</v>
      </c>
      <c r="D33" s="6" t="n">
        <f aca="false">-Assumptions!C44*33</f>
        <v>-9900</v>
      </c>
      <c r="E33" s="6" t="n">
        <f aca="false">-Assumptions!C44*33</f>
        <v>-9900</v>
      </c>
      <c r="F33" s="6" t="n">
        <f aca="false">-Assumptions!C44*33</f>
        <v>-9900</v>
      </c>
      <c r="G33" s="6" t="n">
        <f aca="false">-Assumptions!C44*33</f>
        <v>-9900</v>
      </c>
    </row>
    <row r="34" customFormat="false" ht="15" hidden="false" customHeight="true" outlineLevel="0" collapsed="false">
      <c r="B34" s="1" t="s">
        <v>206</v>
      </c>
      <c r="C34" s="6" t="n">
        <f aca="false">'Debt Schedule'!F13*-1</f>
        <v>-183209.015168278</v>
      </c>
      <c r="D34" s="6" t="n">
        <f aca="false">'Debt Schedule'!F14*-1</f>
        <v>-183209.015168278</v>
      </c>
      <c r="E34" s="6" t="n">
        <f aca="false">'Debt Schedule'!F15*-1</f>
        <v>-183209.015168278</v>
      </c>
      <c r="F34" s="6" t="n">
        <f aca="false">'Debt Schedule'!F16*-1</f>
        <v>-183209.015168278</v>
      </c>
      <c r="G34" s="6" t="n">
        <f aca="false">'Debt Schedule'!F17*-1</f>
        <v>-183209.015168278</v>
      </c>
    </row>
    <row r="35" customFormat="false" ht="15" hidden="false" customHeight="true" outlineLevel="0" collapsed="false">
      <c r="B35" s="50" t="s">
        <v>207</v>
      </c>
      <c r="C35" s="51" t="n">
        <f aca="false">C32+C33+C34</f>
        <v>68260.0408317222</v>
      </c>
      <c r="D35" s="51" t="n">
        <f aca="false">D32+D33+D34</f>
        <v>73626.9344317222</v>
      </c>
      <c r="E35" s="51" t="n">
        <f aca="false">E32+E33+E34</f>
        <v>79097.7054157221</v>
      </c>
      <c r="F35" s="51" t="n">
        <f aca="false">F32+F33+F34</f>
        <v>84674.1363702022</v>
      </c>
      <c r="G35" s="51" t="n">
        <f aca="false">G32+G33+G34</f>
        <v>90358.0319058717</v>
      </c>
    </row>
    <row r="37" customFormat="false" ht="15" hidden="false" customHeight="true" outlineLevel="0" collapsed="false">
      <c r="B37" s="1" t="s">
        <v>208</v>
      </c>
      <c r="C37" s="52" t="n">
        <f aca="false">C32/(-C34)</f>
        <v>1.42661678389533</v>
      </c>
      <c r="D37" s="52" t="n">
        <f aca="false">D32/(-D34)</f>
        <v>1.45591061310494</v>
      </c>
      <c r="E37" s="52" t="n">
        <f aca="false">E32/(-E34)</f>
        <v>1.48577143070158</v>
      </c>
      <c r="F37" s="52" t="n">
        <f aca="false">F32/(-F34)</f>
        <v>1.516208966482</v>
      </c>
      <c r="G37" s="52" t="n">
        <f aca="false">G32/(-G34)</f>
        <v>1.54723307045663</v>
      </c>
    </row>
    <row r="38" customFormat="false" ht="15" hidden="false" customHeight="true" outlineLevel="0" collapsed="false">
      <c r="B38" s="1" t="s">
        <v>209</v>
      </c>
      <c r="C38" s="47" t="n">
        <f aca="false">C35/Assumptions!C18</f>
        <v>0.0683694319227987</v>
      </c>
      <c r="D38" s="47" t="n">
        <f aca="false">D35/Assumptions!C18</f>
        <v>0.0737449263138243</v>
      </c>
      <c r="E38" s="47" t="n">
        <f aca="false">E35/Assumptions!C18</f>
        <v>0.0792244645590166</v>
      </c>
      <c r="F38" s="47" t="n">
        <f aca="false">F35/Assumptions!C18</f>
        <v>0.0848098321015647</v>
      </c>
      <c r="G38" s="47" t="n">
        <f aca="false">G35/Assumptions!C18</f>
        <v>0.0905028364441824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14" t="s">
        <v>210</v>
      </c>
    </row>
    <row r="3" customFormat="false" ht="15" hidden="false" customHeight="true" outlineLevel="0" collapsed="false">
      <c r="B3" s="15" t="s">
        <v>211</v>
      </c>
    </row>
    <row r="5" customFormat="false" ht="15" hidden="false" customHeight="true" outlineLevel="0" collapsed="false">
      <c r="B5" s="34" t="s">
        <v>212</v>
      </c>
      <c r="C5" s="17"/>
      <c r="D5" s="17"/>
    </row>
    <row r="6" customFormat="false" ht="15" hidden="false" customHeight="true" outlineLevel="0" collapsed="false">
      <c r="B6" s="1" t="s">
        <v>213</v>
      </c>
      <c r="C6" s="44" t="n">
        <f aca="false">'Cash Flow'!G32</f>
        <v>283467.04707415</v>
      </c>
    </row>
    <row r="7" customFormat="false" ht="15" hidden="false" customHeight="true" outlineLevel="0" collapsed="false">
      <c r="B7" s="1" t="s">
        <v>85</v>
      </c>
      <c r="C7" s="48" t="n">
        <f aca="false">Assumptions!C47</f>
        <v>0.075</v>
      </c>
    </row>
    <row r="8" customFormat="false" ht="15" hidden="false" customHeight="true" outlineLevel="0" collapsed="false">
      <c r="B8" s="1" t="s">
        <v>214</v>
      </c>
      <c r="C8" s="6" t="n">
        <f aca="false">C6/C7</f>
        <v>3779560.62765533</v>
      </c>
    </row>
    <row r="9" customFormat="false" ht="15" hidden="false" customHeight="true" outlineLevel="0" collapsed="false">
      <c r="B9" s="1" t="s">
        <v>215</v>
      </c>
      <c r="C9" s="6" t="n">
        <f aca="false">-C8*Assumptions!C48</f>
        <v>-188978.031382766</v>
      </c>
    </row>
    <row r="10" customFormat="false" ht="15" hidden="false" customHeight="true" outlineLevel="0" collapsed="false">
      <c r="B10" s="1" t="s">
        <v>216</v>
      </c>
      <c r="C10" s="44" t="n">
        <f aca="false">-'Debt Schedule'!G17</f>
        <v>-1979210.92495856</v>
      </c>
      <c r="D10" s="37" t="s">
        <v>217</v>
      </c>
    </row>
    <row r="11" customFormat="false" ht="15" hidden="false" customHeight="true" outlineLevel="0" collapsed="false">
      <c r="B11" s="50" t="s">
        <v>218</v>
      </c>
      <c r="C11" s="51" t="n">
        <f aca="false">C8+C9+C10</f>
        <v>1611371.671314</v>
      </c>
    </row>
    <row r="13" customFormat="false" ht="15" hidden="false" customHeight="true" outlineLevel="0" collapsed="false">
      <c r="B13" s="34" t="s">
        <v>219</v>
      </c>
      <c r="C13" s="17"/>
      <c r="D13" s="17"/>
    </row>
    <row r="14" customFormat="false" ht="15" hidden="false" customHeight="true" outlineLevel="0" collapsed="false">
      <c r="B14" s="1" t="s">
        <v>220</v>
      </c>
      <c r="C14" s="44" t="n">
        <f aca="false">-Assumptions!C18</f>
        <v>-998400</v>
      </c>
    </row>
    <row r="15" customFormat="false" ht="15" hidden="false" customHeight="true" outlineLevel="0" collapsed="false">
      <c r="B15" s="1" t="s">
        <v>221</v>
      </c>
      <c r="C15" s="44" t="n">
        <f aca="false">'Cash Flow'!C35</f>
        <v>68260.0408317222</v>
      </c>
    </row>
    <row r="16" customFormat="false" ht="15" hidden="false" customHeight="true" outlineLevel="0" collapsed="false">
      <c r="B16" s="1" t="s">
        <v>222</v>
      </c>
      <c r="C16" s="44" t="n">
        <f aca="false">'Cash Flow'!D35</f>
        <v>73626.9344317222</v>
      </c>
    </row>
    <row r="17" customFormat="false" ht="15" hidden="false" customHeight="true" outlineLevel="0" collapsed="false">
      <c r="B17" s="1" t="s">
        <v>223</v>
      </c>
      <c r="C17" s="44" t="n">
        <f aca="false">'Cash Flow'!E35</f>
        <v>79097.7054157221</v>
      </c>
    </row>
    <row r="18" customFormat="false" ht="15" hidden="false" customHeight="true" outlineLevel="0" collapsed="false">
      <c r="B18" s="1" t="s">
        <v>224</v>
      </c>
      <c r="C18" s="44" t="n">
        <f aca="false">'Cash Flow'!F35</f>
        <v>84674.1363702022</v>
      </c>
    </row>
    <row r="19" customFormat="false" ht="15" hidden="false" customHeight="true" outlineLevel="0" collapsed="false">
      <c r="B19" s="1" t="s">
        <v>225</v>
      </c>
      <c r="C19" s="6" t="n">
        <f aca="false">'Cash Flow'!G35+C11</f>
        <v>1701729.70321987</v>
      </c>
    </row>
    <row r="21" customFormat="false" ht="15" hidden="false" customHeight="true" outlineLevel="0" collapsed="false">
      <c r="B21" s="34" t="s">
        <v>226</v>
      </c>
      <c r="C21" s="17"/>
      <c r="D21" s="17"/>
    </row>
    <row r="22" customFormat="false" ht="15" hidden="false" customHeight="true" outlineLevel="0" collapsed="false">
      <c r="B22" s="42" t="s">
        <v>227</v>
      </c>
      <c r="C22" s="53" t="n">
        <f aca="false">IRR(C14:C19)</f>
        <v>0.165891536322177</v>
      </c>
    </row>
    <row r="23" customFormat="false" ht="15" hidden="false" customHeight="true" outlineLevel="0" collapsed="false">
      <c r="B23" s="42" t="s">
        <v>228</v>
      </c>
      <c r="C23" s="54" t="n">
        <f aca="false">SUM(C15:C19)/-C14</f>
        <v>2.01060548905172</v>
      </c>
    </row>
    <row r="24" customFormat="false" ht="15" hidden="false" customHeight="true" outlineLevel="0" collapsed="false">
      <c r="B24" s="1" t="s">
        <v>229</v>
      </c>
      <c r="C24" s="6" t="n">
        <f aca="false">-C14</f>
        <v>998400</v>
      </c>
    </row>
    <row r="25" customFormat="false" ht="15" hidden="false" customHeight="true" outlineLevel="0" collapsed="false">
      <c r="B25" s="1" t="s">
        <v>230</v>
      </c>
      <c r="C25" s="6" t="n">
        <f aca="false">SUM(C15:C19)</f>
        <v>2007388.52026924</v>
      </c>
    </row>
    <row r="26" customFormat="false" ht="15" hidden="false" customHeight="true" outlineLevel="0" collapsed="false">
      <c r="B26" s="1" t="s">
        <v>231</v>
      </c>
      <c r="C26" s="6" t="n">
        <f aca="false">SUM(C14:C19)</f>
        <v>1008988.52026924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8" min="3" style="1" width="12"/>
  </cols>
  <sheetData>
    <row r="2" customFormat="false" ht="17.25" hidden="false" customHeight="true" outlineLevel="0" collapsed="false">
      <c r="B2" s="14" t="s">
        <v>232</v>
      </c>
    </row>
    <row r="3" customFormat="false" ht="15" hidden="false" customHeight="true" outlineLevel="0" collapsed="false">
      <c r="B3" s="15" t="s">
        <v>233</v>
      </c>
    </row>
    <row r="5" customFormat="false" ht="15" hidden="false" customHeight="true" outlineLevel="0" collapsed="false">
      <c r="B5" s="37" t="s">
        <v>234</v>
      </c>
    </row>
    <row r="6" customFormat="false" ht="15" hidden="false" customHeight="true" outlineLevel="0" collapsed="false">
      <c r="B6" s="37" t="s">
        <v>235</v>
      </c>
    </row>
    <row r="7" customFormat="false" ht="15" hidden="false" customHeight="true" outlineLevel="0" collapsed="false">
      <c r="B7" s="37" t="s">
        <v>236</v>
      </c>
    </row>
    <row r="9" customFormat="false" ht="15" hidden="false" customHeight="true" outlineLevel="0" collapsed="false">
      <c r="B9" s="4" t="s">
        <v>237</v>
      </c>
    </row>
    <row r="10" customFormat="false" ht="15" hidden="false" customHeight="true" outlineLevel="0" collapsed="false">
      <c r="B10" s="55" t="s">
        <v>238</v>
      </c>
      <c r="C10" s="56" t="n">
        <v>2600000</v>
      </c>
      <c r="D10" s="56" t="n">
        <v>2750000</v>
      </c>
      <c r="E10" s="56" t="n">
        <v>2900000</v>
      </c>
      <c r="F10" s="56" t="n">
        <v>3050000</v>
      </c>
      <c r="G10" s="56" t="n">
        <v>3120000</v>
      </c>
      <c r="H10" s="56" t="n">
        <v>3250000</v>
      </c>
    </row>
    <row r="11" customFormat="false" ht="15" hidden="false" customHeight="true" outlineLevel="0" collapsed="false">
      <c r="B11" s="55" t="s">
        <v>239</v>
      </c>
    </row>
    <row r="12" customFormat="false" ht="15" hidden="false" customHeight="true" outlineLevel="0" collapsed="false">
      <c r="B12" s="57" t="n">
        <v>0.065</v>
      </c>
      <c r="C12" s="58" t="s">
        <v>240</v>
      </c>
      <c r="D12" s="58" t="s">
        <v>240</v>
      </c>
      <c r="E12" s="58" t="s">
        <v>240</v>
      </c>
      <c r="F12" s="58" t="s">
        <v>240</v>
      </c>
      <c r="G12" s="58" t="s">
        <v>240</v>
      </c>
      <c r="H12" s="58" t="s">
        <v>240</v>
      </c>
    </row>
    <row r="13" customFormat="false" ht="15" hidden="false" customHeight="true" outlineLevel="0" collapsed="false">
      <c r="B13" s="57" t="n">
        <v>0.07</v>
      </c>
      <c r="C13" s="58" t="s">
        <v>240</v>
      </c>
      <c r="D13" s="58" t="s">
        <v>240</v>
      </c>
      <c r="E13" s="58" t="s">
        <v>240</v>
      </c>
      <c r="F13" s="58" t="s">
        <v>240</v>
      </c>
      <c r="G13" s="58" t="s">
        <v>240</v>
      </c>
      <c r="H13" s="58" t="s">
        <v>240</v>
      </c>
    </row>
    <row r="14" customFormat="false" ht="15" hidden="false" customHeight="true" outlineLevel="0" collapsed="false">
      <c r="B14" s="57" t="n">
        <v>0.075</v>
      </c>
      <c r="C14" s="58" t="s">
        <v>240</v>
      </c>
      <c r="D14" s="58" t="s">
        <v>240</v>
      </c>
      <c r="E14" s="58" t="s">
        <v>240</v>
      </c>
      <c r="F14" s="58" t="s">
        <v>240</v>
      </c>
      <c r="G14" s="58" t="s">
        <v>240</v>
      </c>
      <c r="H14" s="58" t="s">
        <v>240</v>
      </c>
    </row>
    <row r="15" customFormat="false" ht="15" hidden="false" customHeight="true" outlineLevel="0" collapsed="false">
      <c r="B15" s="57" t="n">
        <v>0.08</v>
      </c>
      <c r="C15" s="58" t="s">
        <v>240</v>
      </c>
      <c r="D15" s="58" t="s">
        <v>240</v>
      </c>
      <c r="E15" s="58" t="s">
        <v>240</v>
      </c>
      <c r="F15" s="58" t="s">
        <v>240</v>
      </c>
      <c r="G15" s="58" t="s">
        <v>240</v>
      </c>
      <c r="H15" s="58" t="s">
        <v>240</v>
      </c>
    </row>
    <row r="16" customFormat="false" ht="15" hidden="false" customHeight="true" outlineLevel="0" collapsed="false">
      <c r="B16" s="57" t="n">
        <v>0.085</v>
      </c>
      <c r="C16" s="58" t="s">
        <v>240</v>
      </c>
      <c r="D16" s="58" t="s">
        <v>240</v>
      </c>
      <c r="E16" s="58" t="s">
        <v>240</v>
      </c>
      <c r="F16" s="58" t="s">
        <v>240</v>
      </c>
      <c r="G16" s="58" t="s">
        <v>240</v>
      </c>
      <c r="H16" s="58" t="s">
        <v>240</v>
      </c>
    </row>
    <row r="17" customFormat="false" ht="15" hidden="false" customHeight="true" outlineLevel="0" collapsed="false">
      <c r="B17" s="57" t="n">
        <v>0.09</v>
      </c>
      <c r="C17" s="58" t="s">
        <v>240</v>
      </c>
      <c r="D17" s="58" t="s">
        <v>240</v>
      </c>
      <c r="E17" s="58" t="s">
        <v>240</v>
      </c>
      <c r="F17" s="58" t="s">
        <v>240</v>
      </c>
      <c r="G17" s="58" t="s">
        <v>240</v>
      </c>
      <c r="H17" s="58" t="s">
        <v>240</v>
      </c>
    </row>
    <row r="20" customFormat="false" ht="15" hidden="false" customHeight="true" outlineLevel="0" collapsed="false">
      <c r="B20" s="4" t="s">
        <v>241</v>
      </c>
    </row>
    <row r="21" customFormat="false" ht="15" hidden="false" customHeight="true" outlineLevel="0" collapsed="false">
      <c r="B21" s="59" t="s">
        <v>242</v>
      </c>
    </row>
    <row r="22" customFormat="false" ht="15" hidden="false" customHeight="true" outlineLevel="0" collapsed="false">
      <c r="B22" s="59" t="s">
        <v>243</v>
      </c>
    </row>
    <row r="23" customFormat="false" ht="15" hidden="false" customHeight="true" outlineLevel="0" collapsed="false">
      <c r="B23" s="59" t="s">
        <v>244</v>
      </c>
    </row>
    <row r="24" customFormat="false" ht="15" hidden="false" customHeight="true" outlineLevel="0" collapsed="false">
      <c r="B24" s="59" t="s">
        <v>245</v>
      </c>
    </row>
    <row r="27" customFormat="false" ht="15" hidden="false" customHeight="true" outlineLevel="0" collapsed="false">
      <c r="B27" s="4" t="s">
        <v>246</v>
      </c>
    </row>
    <row r="28" customFormat="false" ht="15" hidden="false" customHeight="true" outlineLevel="0" collapsed="false">
      <c r="B28" s="60" t="s">
        <v>247</v>
      </c>
      <c r="C28" s="61" t="n">
        <v>0.0795</v>
      </c>
    </row>
    <row r="29" customFormat="false" ht="15" hidden="false" customHeight="true" outlineLevel="0" collapsed="false">
      <c r="B29" s="60" t="s">
        <v>248</v>
      </c>
      <c r="C29" s="61" t="n">
        <v>0.0681</v>
      </c>
    </row>
    <row r="30" customFormat="false" ht="15" hidden="false" customHeight="true" outlineLevel="0" collapsed="false">
      <c r="B30" s="60" t="s">
        <v>249</v>
      </c>
      <c r="C30" s="61" t="n">
        <v>0.0638</v>
      </c>
    </row>
    <row r="31" customFormat="false" ht="15" hidden="false" customHeight="true" outlineLevel="0" collapsed="false">
      <c r="B31" s="60" t="s">
        <v>250</v>
      </c>
      <c r="C31" s="47" t="n">
        <f aca="false">'Pro Forma'!C32/Assumptions!C6</f>
        <v>0.0837721333333333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8" min="7" style="1" width="14"/>
  </cols>
  <sheetData>
    <row r="2" customFormat="false" ht="17.25" hidden="false" customHeight="true" outlineLevel="0" collapsed="false">
      <c r="B2" s="14" t="s">
        <v>251</v>
      </c>
    </row>
    <row r="3" customFormat="false" ht="15" hidden="false" customHeight="true" outlineLevel="0" collapsed="false">
      <c r="B3" s="15" t="s">
        <v>252</v>
      </c>
    </row>
    <row r="5" customFormat="false" ht="15" hidden="false" customHeight="true" outlineLevel="0" collapsed="false">
      <c r="B5" s="62" t="s">
        <v>253</v>
      </c>
      <c r="C5" s="62" t="s">
        <v>254</v>
      </c>
      <c r="D5" s="62" t="s">
        <v>255</v>
      </c>
      <c r="E5" s="62" t="s">
        <v>90</v>
      </c>
      <c r="F5" s="62" t="s">
        <v>256</v>
      </c>
      <c r="G5" s="62" t="s">
        <v>257</v>
      </c>
      <c r="H5" s="62" t="s">
        <v>258</v>
      </c>
    </row>
    <row r="6" customFormat="false" ht="15" hidden="false" customHeight="true" outlineLevel="0" collapsed="false">
      <c r="B6" s="1" t="s">
        <v>259</v>
      </c>
      <c r="C6" s="1" t="s">
        <v>260</v>
      </c>
      <c r="D6" s="63" t="n">
        <v>2</v>
      </c>
      <c r="E6" s="1" t="s">
        <v>261</v>
      </c>
      <c r="F6" s="23" t="n">
        <v>940</v>
      </c>
      <c r="G6" s="25" t="n">
        <v>1177</v>
      </c>
      <c r="H6" s="26" t="n">
        <f aca="false">G6/F6</f>
        <v>1.25212765957447</v>
      </c>
    </row>
    <row r="7" customFormat="false" ht="15" hidden="false" customHeight="true" outlineLevel="0" collapsed="false">
      <c r="B7" s="1" t="s">
        <v>262</v>
      </c>
      <c r="C7" s="1" t="s">
        <v>260</v>
      </c>
      <c r="D7" s="63" t="n">
        <v>2</v>
      </c>
      <c r="E7" s="1" t="s">
        <v>261</v>
      </c>
      <c r="F7" s="23" t="n">
        <v>956</v>
      </c>
      <c r="G7" s="25" t="n">
        <v>1435</v>
      </c>
      <c r="H7" s="26" t="n">
        <f aca="false">G7/F7</f>
        <v>1.5010460251046</v>
      </c>
    </row>
    <row r="8" customFormat="false" ht="15" hidden="false" customHeight="true" outlineLevel="0" collapsed="false">
      <c r="B8" s="1" t="s">
        <v>263</v>
      </c>
      <c r="C8" s="1" t="s">
        <v>264</v>
      </c>
      <c r="D8" s="63" t="n">
        <v>4</v>
      </c>
      <c r="E8" s="1" t="s">
        <v>261</v>
      </c>
      <c r="F8" s="23" t="n">
        <v>769</v>
      </c>
      <c r="G8" s="25" t="n">
        <v>1215</v>
      </c>
      <c r="H8" s="26" t="n">
        <f aca="false">G8/F8</f>
        <v>1.57997399219766</v>
      </c>
    </row>
    <row r="9" customFormat="false" ht="15" hidden="false" customHeight="true" outlineLevel="0" collapsed="false">
      <c r="B9" s="1" t="s">
        <v>265</v>
      </c>
      <c r="C9" s="1" t="s">
        <v>264</v>
      </c>
      <c r="D9" s="63" t="n">
        <v>4</v>
      </c>
      <c r="E9" s="1" t="s">
        <v>266</v>
      </c>
      <c r="F9" s="23" t="n">
        <v>769</v>
      </c>
      <c r="G9" s="25" t="n">
        <v>1435</v>
      </c>
      <c r="H9" s="26" t="n">
        <f aca="false">G9/F9</f>
        <v>1.86605981794538</v>
      </c>
    </row>
    <row r="10" customFormat="false" ht="15" hidden="false" customHeight="true" outlineLevel="0" collapsed="false">
      <c r="B10" s="1" t="s">
        <v>267</v>
      </c>
      <c r="C10" s="1" t="s">
        <v>264</v>
      </c>
      <c r="D10" s="63" t="n">
        <v>4</v>
      </c>
      <c r="E10" s="1" t="s">
        <v>261</v>
      </c>
      <c r="F10" s="23" t="n">
        <v>863</v>
      </c>
      <c r="G10" s="25" t="n">
        <v>1275</v>
      </c>
      <c r="H10" s="26" t="n">
        <f aca="false">G10/F10</f>
        <v>1.4774044032445</v>
      </c>
    </row>
    <row r="11" customFormat="false" ht="15" hidden="false" customHeight="true" outlineLevel="0" collapsed="false">
      <c r="B11" s="1" t="s">
        <v>268</v>
      </c>
      <c r="C11" s="1" t="s">
        <v>269</v>
      </c>
      <c r="D11" s="63" t="n">
        <v>12</v>
      </c>
      <c r="E11" s="1" t="s">
        <v>270</v>
      </c>
      <c r="F11" s="23" t="n">
        <v>532</v>
      </c>
      <c r="G11" s="25" t="n">
        <v>1495</v>
      </c>
      <c r="H11" s="26" t="n">
        <f aca="false">G11/F11</f>
        <v>2.81015037593985</v>
      </c>
    </row>
    <row r="12" customFormat="false" ht="15" hidden="false" customHeight="true" outlineLevel="0" collapsed="false">
      <c r="B12" s="1" t="s">
        <v>268</v>
      </c>
      <c r="C12" s="1" t="s">
        <v>269</v>
      </c>
      <c r="D12" s="63" t="n">
        <v>12</v>
      </c>
      <c r="E12" s="1" t="s">
        <v>270</v>
      </c>
      <c r="F12" s="23" t="n">
        <v>574</v>
      </c>
      <c r="G12" s="25" t="n">
        <v>1395</v>
      </c>
      <c r="H12" s="26" t="n">
        <f aca="false">G12/F12</f>
        <v>2.43031358885017</v>
      </c>
    </row>
    <row r="13" customFormat="false" ht="15" hidden="false" customHeight="true" outlineLevel="0" collapsed="false">
      <c r="B13" s="1" t="s">
        <v>271</v>
      </c>
      <c r="C13" s="1" t="s">
        <v>272</v>
      </c>
      <c r="D13" s="63" t="n">
        <v>10</v>
      </c>
      <c r="E13" s="1" t="s">
        <v>270</v>
      </c>
      <c r="F13" s="23" t="n">
        <v>400</v>
      </c>
      <c r="G13" s="25" t="n">
        <v>1284</v>
      </c>
      <c r="H13" s="26" t="n">
        <f aca="false">G13/F13</f>
        <v>3.21</v>
      </c>
    </row>
    <row r="14" customFormat="false" ht="15" hidden="false" customHeight="true" outlineLevel="0" collapsed="false">
      <c r="B14" s="1" t="s">
        <v>271</v>
      </c>
      <c r="C14" s="1" t="s">
        <v>272</v>
      </c>
      <c r="D14" s="63" t="n">
        <v>10</v>
      </c>
      <c r="E14" s="1" t="s">
        <v>270</v>
      </c>
      <c r="F14" s="23" t="n">
        <v>528</v>
      </c>
      <c r="G14" s="25" t="n">
        <v>1341</v>
      </c>
      <c r="H14" s="26" t="n">
        <f aca="false">G14/F14</f>
        <v>2.53977272727273</v>
      </c>
    </row>
    <row r="15" customFormat="false" ht="15" hidden="false" customHeight="true" outlineLevel="0" collapsed="false">
      <c r="B15" s="1" t="s">
        <v>273</v>
      </c>
      <c r="C15" s="1" t="s">
        <v>274</v>
      </c>
      <c r="D15" s="63" t="n">
        <v>8</v>
      </c>
      <c r="E15" s="1" t="s">
        <v>270</v>
      </c>
      <c r="F15" s="23" t="n">
        <v>401</v>
      </c>
      <c r="G15" s="25" t="n">
        <v>1199</v>
      </c>
      <c r="H15" s="26" t="n">
        <f aca="false">G15/F15</f>
        <v>2.99002493765586</v>
      </c>
    </row>
    <row r="16" customFormat="false" ht="15" hidden="false" customHeight="true" outlineLevel="0" collapsed="false">
      <c r="B16" s="1" t="s">
        <v>275</v>
      </c>
      <c r="C16" s="1" t="s">
        <v>276</v>
      </c>
      <c r="D16" s="63" t="n">
        <v>15</v>
      </c>
      <c r="E16" s="1" t="s">
        <v>270</v>
      </c>
      <c r="F16" s="23" t="n">
        <v>431</v>
      </c>
      <c r="G16" s="25" t="n">
        <v>1051</v>
      </c>
      <c r="H16" s="26" t="n">
        <f aca="false">G16/F16</f>
        <v>2.4385150812065</v>
      </c>
    </row>
    <row r="18" customFormat="false" ht="15" hidden="false" customHeight="true" outlineLevel="0" collapsed="false">
      <c r="B18" s="64" t="s">
        <v>277</v>
      </c>
      <c r="C18" s="65"/>
      <c r="D18" s="65"/>
      <c r="E18" s="65"/>
      <c r="F18" s="65"/>
      <c r="G18" s="65"/>
      <c r="H18" s="65"/>
    </row>
    <row r="19" customFormat="false" ht="15" hidden="false" customHeight="true" outlineLevel="0" collapsed="false">
      <c r="B19" s="4" t="s">
        <v>278</v>
      </c>
      <c r="C19" s="4" t="s">
        <v>260</v>
      </c>
      <c r="D19" s="66" t="n">
        <v>0</v>
      </c>
      <c r="E19" s="4" t="s">
        <v>270</v>
      </c>
      <c r="F19" s="66" t="n">
        <v>226</v>
      </c>
      <c r="G19" s="67" t="n">
        <v>725</v>
      </c>
      <c r="H19" s="68" t="n">
        <f aca="false">G19/F19</f>
        <v>3.20796460176991</v>
      </c>
    </row>
    <row r="20" customFormat="false" ht="15" hidden="false" customHeight="true" outlineLevel="0" collapsed="false">
      <c r="B20" s="4" t="s">
        <v>279</v>
      </c>
      <c r="C20" s="4" t="s">
        <v>260</v>
      </c>
      <c r="D20" s="66" t="n">
        <v>0</v>
      </c>
      <c r="E20" s="4" t="s">
        <v>270</v>
      </c>
      <c r="F20" s="66" t="n">
        <v>256</v>
      </c>
      <c r="G20" s="67" t="n">
        <v>812</v>
      </c>
      <c r="H20" s="68" t="n">
        <f aca="false">G20/F20</f>
        <v>3.171875</v>
      </c>
    </row>
    <row r="21" customFormat="false" ht="15" hidden="false" customHeight="true" outlineLevel="0" collapsed="false">
      <c r="B21" s="4" t="s">
        <v>280</v>
      </c>
      <c r="C21" s="4" t="s">
        <v>260</v>
      </c>
      <c r="D21" s="66" t="n">
        <v>0</v>
      </c>
      <c r="E21" s="4" t="s">
        <v>261</v>
      </c>
      <c r="F21" s="66" t="n">
        <v>464</v>
      </c>
      <c r="G21" s="67" t="n">
        <v>1050</v>
      </c>
      <c r="H21" s="68" t="n">
        <f aca="false">G21/F21</f>
        <v>2.26293103448276</v>
      </c>
    </row>
    <row r="22" customFormat="false" ht="15" hidden="false" customHeight="true" outlineLevel="0" collapsed="false">
      <c r="B22" s="4" t="s">
        <v>281</v>
      </c>
      <c r="C22" s="4" t="s">
        <v>260</v>
      </c>
      <c r="D22" s="66" t="n">
        <v>0</v>
      </c>
      <c r="E22" s="4" t="s">
        <v>261</v>
      </c>
      <c r="F22" s="66" t="n">
        <v>506</v>
      </c>
      <c r="G22" s="67" t="n">
        <v>999</v>
      </c>
      <c r="H22" s="68" t="n">
        <f aca="false">G22/F22</f>
        <v>1.97430830039526</v>
      </c>
    </row>
    <row r="25" customFormat="false" ht="15" hidden="false" customHeight="true" outlineLevel="0" collapsed="false">
      <c r="B25" s="34" t="s">
        <v>282</v>
      </c>
      <c r="C25" s="17"/>
      <c r="D25" s="17"/>
      <c r="E25" s="17"/>
      <c r="F25" s="17"/>
      <c r="G25" s="17"/>
      <c r="H25" s="17"/>
    </row>
    <row r="26" customFormat="false" ht="15" hidden="false" customHeight="true" outlineLevel="0" collapsed="false">
      <c r="B26" s="59" t="s">
        <v>283</v>
      </c>
    </row>
    <row r="27" customFormat="false" ht="15" hidden="false" customHeight="true" outlineLevel="0" collapsed="false">
      <c r="B27" s="59" t="s">
        <v>284</v>
      </c>
    </row>
    <row r="28" customFormat="false" ht="15" hidden="false" customHeight="true" outlineLevel="0" collapsed="false">
      <c r="B28" s="59" t="s">
        <v>285</v>
      </c>
    </row>
    <row r="29" customFormat="false" ht="15" hidden="false" customHeight="true" outlineLevel="0" collapsed="false">
      <c r="B29" s="59" t="s">
        <v>286</v>
      </c>
    </row>
    <row r="30" customFormat="false" ht="15" hidden="false" customHeight="true" outlineLevel="0" collapsed="false">
      <c r="B30" s="59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2026-07-18T04:58:58Z</dcterms:created>
  <dc:creator>openpyxl</dc:creator>
  <dc:description/>
  <dc:language>en-US</dc:language>
  <cp:lastModifiedBy/>
  <dcterms:modified xsi:type="dcterms:W3CDTF">2026-07-20T04:03:19Z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